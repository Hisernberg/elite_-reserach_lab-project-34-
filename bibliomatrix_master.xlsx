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14bf8149af4e82" /></Relationships>
</file>

<file path=xl/workbook.xml><?xml version="1.0" encoding="utf-8"?>
<x:workbook xmlns:x="http://schemas.openxmlformats.org/spreadsheetml/2006/main">
  <x:sheets>
    <x:sheet xmlns:r="http://schemas.openxmlformats.org/officeDocument/2006/relationships" name="Dashboard" sheetId="1" r:id="R6db8570f08eb4315"/>
    <x:sheet xmlns:r="http://schemas.openxmlformats.org/officeDocument/2006/relationships" name="Master_Bibliomatrix" sheetId="2" r:id="R03312ac2995b4351"/>
    <x:sheet xmlns:r="http://schemas.openxmlformats.org/officeDocument/2006/relationships" name="DOI_Verification" sheetId="3" r:id="Rf793ba7a6cef45ab"/>
    <x:sheet xmlns:r="http://schemas.openxmlformats.org/officeDocument/2006/relationships" name="Factuality_Matrix" sheetId="4" r:id="Rd499f19bd8ba41fa"/>
    <x:sheet xmlns:r="http://schemas.openxmlformats.org/officeDocument/2006/relationships" name="Bangla_Relevance" sheetId="5" r:id="Ra47b82be5cc444ea"/>
    <x:sheet xmlns:r="http://schemas.openxmlformats.org/officeDocument/2006/relationships" name="Zotero_Collections" sheetId="6" r:id="Rf7896db4b1874a55"/>
    <x:sheet xmlns:r="http://schemas.openxmlformats.org/officeDocument/2006/relationships" name="Controlled_Tags" sheetId="7" r:id="R924258a0d0df438d"/>
    <x:sheet xmlns:r="http://schemas.openxmlformats.org/officeDocument/2006/relationships" name="Extraction_Template" sheetId="8" r:id="Rd3f827064a5c49db"/>
    <x:sheet xmlns:r="http://schemas.openxmlformats.org/officeDocument/2006/relationships" name="PRISMA_Flow_Template" sheetId="9" r:id="Rf79bfd50cdcf4e8e"/>
    <x:sheet xmlns:r="http://schemas.openxmlformats.org/officeDocument/2006/relationships" name="Risk_of_Bias_Template" sheetId="10" r:id="Rbebe651906844132"/>
    <x:sheet xmlns:r="http://schemas.openxmlformats.org/officeDocument/2006/relationships" name="GRADE_SoF_Template" sheetId="11" r:id="R64268a88ab224e33"/>
    <x:sheet xmlns:r="http://schemas.openxmlformats.org/officeDocument/2006/relationships" name="README" sheetId="12" r:id="Rbaa8a111ed2b40d7"/>
    <x:sheet xmlns:r="http://schemas.openxmlformats.org/officeDocument/2006/relationships" name="Tag_Matrix" sheetId="13" r:id="R3c62816565dc47e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0F172A"/>
      </x:patternFill>
    </x:fill>
    <x:fill>
      <x:patternFill patternType="solid">
        <x:fgColor rgb="FF1F4E78"/>
      </x:patternFill>
    </x:fill>
    <x:fill>
      <x:patternFill patternType="solid">
        <x:fgColor rgb="FFE0F2FE"/>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cellXfs>
  <x:cellStyles count="1">
    <x:cellStyle name="Normal" xfId="0"/>
  </x:cellStyles>
  <x:dxfs count="2">
    <x:dxf>
      <x:fill>
        <x:patternFill patternType="solid">
          <x:bgColor rgb="FFFEF3C7"/>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dce24a6fe149f7" /><Relationship Type="http://schemas.openxmlformats.org/officeDocument/2006/relationships/theme" Target="/xl/theme/theme1.xml" Id="R36de0cd4553d4ac6" /><Relationship Type="http://schemas.openxmlformats.org/officeDocument/2006/relationships/sharedStrings" Target="/xl/sharedStrings.xml" Id="R31824cacba3a4cb6" /><Relationship Type="http://schemas.openxmlformats.org/officeDocument/2006/relationships/worksheet" Target="/xl/worksheets/sheet1.xml" Id="R6db8570f08eb4315" /><Relationship Type="http://schemas.openxmlformats.org/officeDocument/2006/relationships/worksheet" Target="/xl/worksheets/sheet2.xml" Id="R03312ac2995b4351" /><Relationship Type="http://schemas.openxmlformats.org/officeDocument/2006/relationships/worksheet" Target="/xl/worksheets/sheet3.xml" Id="Rf793ba7a6cef45ab" /><Relationship Type="http://schemas.openxmlformats.org/officeDocument/2006/relationships/worksheet" Target="/xl/worksheets/sheet4.xml" Id="Rd499f19bd8ba41fa" /><Relationship Type="http://schemas.openxmlformats.org/officeDocument/2006/relationships/worksheet" Target="/xl/worksheets/sheet5.xml" Id="Ra47b82be5cc444ea" /><Relationship Type="http://schemas.openxmlformats.org/officeDocument/2006/relationships/worksheet" Target="/xl/worksheets/sheet6.xml" Id="Rf7896db4b1874a55" /><Relationship Type="http://schemas.openxmlformats.org/officeDocument/2006/relationships/worksheet" Target="/xl/worksheets/sheet7.xml" Id="R924258a0d0df438d" /><Relationship Type="http://schemas.openxmlformats.org/officeDocument/2006/relationships/worksheet" Target="/xl/worksheets/sheet8.xml" Id="Rd3f827064a5c49db" /><Relationship Type="http://schemas.openxmlformats.org/officeDocument/2006/relationships/worksheet" Target="/xl/worksheets/sheet9.xml" Id="Rf79bfd50cdcf4e8e" /><Relationship Type="http://schemas.openxmlformats.org/officeDocument/2006/relationships/worksheet" Target="/xl/worksheets/sheet10.xml" Id="Rbebe651906844132" /><Relationship Type="http://schemas.openxmlformats.org/officeDocument/2006/relationships/worksheet" Target="/xl/worksheets/sheet11.xml" Id="R64268a88ab224e33" /><Relationship Type="http://schemas.openxmlformats.org/officeDocument/2006/relationships/worksheet" Target="/xl/worksheets/sheet12.xml" Id="Rbaa8a111ed2b40d7" /><Relationship Type="http://schemas.openxmlformats.org/officeDocument/2006/relationships/worksheet" Target="/xl/worksheets/sheet13.xml" Id="R3c62816565dc47ea" /></Relationships>
</file>

<file path=xl/tables/table1.xml><?xml version="1.0" encoding="utf-8"?>
<x:table xmlns:x="http://schemas.openxmlformats.org/spreadsheetml/2006/main" id="1" name="MasterBibliomatrixTable" displayName="MasterBibliomatrixTable" ref="A1:V216" headerRowCount="1">
  <x:tableColumns count="22">
    <x:tableColumn id="1" name="citekey"/>
    <x:tableColumn id="2" name="entry_type"/>
    <x:tableColumn id="3" name="author"/>
    <x:tableColumn id="4" name="year"/>
    <x:tableColumn id="5" name="title"/>
    <x:tableColumn id="6" name="venue"/>
    <x:tableColumn id="7" name="doi"/>
    <x:tableColumn id="8" name="url"/>
    <x:tableColumn id="9" name="arxiv"/>
    <x:tableColumn id="10" name="pmid"/>
    <x:tableColumn id="11" name="acl_id"/>
    <x:tableColumn id="12" name="category"/>
    <x:tableColumn id="13" name="collection"/>
    <x:tableColumn id="14" name="tags"/>
    <x:tableColumn id="15" name="task"/>
    <x:tableColumn id="16" name="languages"/>
    <x:tableColumn id="17" name="factuality_mechanism"/>
    <x:tableColumn id="18" name="bangla_relevance"/>
    <x:tableColumn id="19" name="inclusion_role"/>
    <x:tableColumn id="20" name="verification_status"/>
    <x:tableColumn id="21" name="source_note"/>
    <x:tableColumn id="22" name="note"/>
  </x:tableColumns>
  <x:tableStyleInfo name="TableStyleMedium2" showRowStripes="1"/>
</x:table>
</file>

<file path=xl/tables/table2.xml><?xml version="1.0" encoding="utf-8"?>
<x:table xmlns:x="http://schemas.openxmlformats.org/spreadsheetml/2006/main" id="2" name="DoiVerificationTable" displayName="DoiVerificationTable" ref="A1:G216" headerRowCount="1">
  <x:tableColumns count="7">
    <x:tableColumn id="1" name="citekey"/>
    <x:tableColumn id="2" name="title"/>
    <x:tableColumn id="3" name="doi"/>
    <x:tableColumn id="4" name="url"/>
    <x:tableColumn id="5" name="identifier_type"/>
    <x:tableColumn id="6" name="verification_status"/>
    <x:tableColumn id="7" name="action"/>
  </x:tableColumns>
  <x:tableStyleInfo name="TableStyleMedium2" showRowStripes="1"/>
</x:table>
</file>

<file path=xl/tables/table3.xml><?xml version="1.0" encoding="utf-8"?>
<x:table xmlns:x="http://schemas.openxmlformats.org/spreadsheetml/2006/main" id="3" name="FactualityMatrixTable" displayName="FactualityMatrixTable" ref="A1:AE216" headerRowCount="1">
  <x:tableColumns count="31">
    <x:tableColumn id="1" name="citekey"/>
    <x:tableColumn id="2" name="year"/>
    <x:tableColumn id="3" name="title"/>
    <x:tableColumn id="4" name="category"/>
    <x:tableColumn id="5" name="NLI"/>
    <x:tableColumn id="6" name="QA"/>
    <x:tableColumn id="7" name="alignment"/>
    <x:tableColumn id="8" name="atomic_facts"/>
    <x:tableColumn id="9" name="attribution"/>
    <x:tableColumn id="10" name="benchmark"/>
    <x:tableColumn id="11" name="classifier"/>
    <x:tableColumn id="12" name="constraint"/>
    <x:tableColumn id="13" name="context"/>
    <x:tableColumn id="14" name="copy_mechanism"/>
    <x:tableColumn id="15" name="entity_preservation"/>
    <x:tableColumn id="16" name="graph_grounding"/>
    <x:tableColumn id="17" name="human_eval"/>
    <x:tableColumn id="18" name="knowledge_aware"/>
    <x:tableColumn id="19" name="lexical"/>
    <x:tableColumn id="20" name="lexical_constraint"/>
    <x:tableColumn id="21" name="logic_constraint"/>
    <x:tableColumn id="22" name="metric"/>
    <x:tableColumn id="23" name="none"/>
    <x:tableColumn id="24" name="ontology"/>
    <x:tableColumn id="25" name="relations"/>
    <x:tableColumn id="26" name="retrieval_grounding"/>
    <x:tableColumn id="27" name="retrieval_nli"/>
    <x:tableColumn id="28" name="sampling_consistency"/>
    <x:tableColumn id="29" name="semantic"/>
    <x:tableColumn id="30" name="semantic_similarity"/>
    <x:tableColumn id="31" name="survey"/>
  </x:tableColumns>
  <x:tableStyleInfo name="TableStyleMedium2" showRowStripes="1"/>
</x:table>
</file>

<file path=xl/tables/table4.xml><?xml version="1.0" encoding="utf-8"?>
<x:table xmlns:x="http://schemas.openxmlformats.org/spreadsheetml/2006/main" id="4" name="BanglaRelevanceTable" displayName="BanglaRelevanceTable" ref="A1:H216" headerRowCount="1">
  <x:tableColumns count="8">
    <x:tableColumn id="1" name="citekey"/>
    <x:tableColumn id="2" name="year"/>
    <x:tableColumn id="3" name="title"/>
    <x:tableColumn id="4" name="category"/>
    <x:tableColumn id="5" name="direct"/>
    <x:tableColumn id="6" name="transferable"/>
    <x:tableColumn id="7" name="not_direct"/>
    <x:tableColumn id="8" name="not_applicable"/>
  </x:tableColumns>
  <x:tableStyleInfo name="TableStyleMedium2" showRowStripes="1"/>
</x:table>
</file>

<file path=xl/tables/table5.xml><?xml version="1.0" encoding="utf-8"?>
<x:table xmlns:x="http://schemas.openxmlformats.org/spreadsheetml/2006/main" id="5" name="ZoteroCollectionsTable" displayName="ZoteroCollectionsTable" ref="A1:B14" headerRowCount="1">
  <x:tableColumns count="2">
    <x:tableColumn id="1" name="collection_name"/>
    <x:tableColumn id="2" name="description"/>
  </x:tableColumns>
  <x:tableStyleInfo name="TableStyleMedium2" showRowStripes="1"/>
</x:table>
</file>

<file path=xl/tables/table6.xml><?xml version="1.0" encoding="utf-8"?>
<x:table xmlns:x="http://schemas.openxmlformats.org/spreadsheetml/2006/main" id="6" name="ControlledTagsTable" displayName="ControlledTagsTable" ref="A1:C23" headerRowCount="1">
  <x:tableColumns count="3">
    <x:tableColumn id="1" name="tag"/>
    <x:tableColumn id="2" name="meaning"/>
    <x:tableColumn id="3" name="suggested_zotero_color"/>
  </x:tableColumns>
  <x:tableStyleInfo name="TableStyleMedium2" showRowStripes="1"/>
</x:table>
</file>

<file path=xl/tables/table7.xml><?xml version="1.0" encoding="utf-8"?>
<x:table xmlns:x="http://schemas.openxmlformats.org/spreadsheetml/2006/main" id="7" name="ExtractionTemplateTable" displayName="ExtractionTemplateTable" ref="A1:AB6" headerRowCount="1">
  <x:tableColumns count="28">
    <x:tableColumn id="1" name="record_id"/>
    <x:tableColumn id="2" name="citekey"/>
    <x:tableColumn id="3" name="screening_decision"/>
    <x:tableColumn id="4" name="exclusion_reason"/>
    <x:tableColumn id="5" name="citation_apa"/>
    <x:tableColumn id="6" name="doi_or_id"/>
    <x:tableColumn id="7" name="venue_year"/>
    <x:tableColumn id="8" name="task"/>
    <x:tableColumn id="9" name="architecture"/>
    <x:tableColumn id="10" name="dataset_name"/>
    <x:tableColumn id="11" name="dataset_size"/>
    <x:tableColumn id="12" name="dataset_language"/>
    <x:tableColumn id="13" name="dataset_construction"/>
    <x:tableColumn id="14" name="factuality_method"/>
    <x:tableColumn id="15" name="readability_metric"/>
    <x:tableColumn id="16" name="baseline_strength"/>
    <x:tableColumn id="17" name="human_eval_n"/>
    <x:tableColumn id="18" name="human_eval_roles"/>
    <x:tableColumn id="19" name="inter_rater_reliability"/>
    <x:tableColumn id="20" name="reported_limitations"/>
    <x:tableColumn id="21" name="bangla_relevance"/>
    <x:tableColumn id="22" name="risk_of_bias_tool"/>
    <x:tableColumn id="23" name="rob_judgment"/>
    <x:tableColumn id="24" name="grade_outcome"/>
    <x:tableColumn id="25" name="notes"/>
    <x:tableColumn id="26" name="pdf_attached"/>
    <x:tableColumn id="27" name="zotero_collection"/>
    <x:tableColumn id="28" name="tags"/>
  </x:tableColumns>
  <x:tableStyleInfo name="TableStyleMedium2" showRowStripes="1"/>
</x:table>
</file>

<file path=xl/tables/table8.xml><?xml version="1.0" encoding="utf-8"?>
<x:table xmlns:x="http://schemas.openxmlformats.org/spreadsheetml/2006/main" id="8" name="PrismaFlowTable" displayName="PrismaFlowTable" ref="A1:K7" headerRowCount="1">
  <x:tableColumns count="11">
    <x:tableColumn id="1" name="source_database"/>
    <x:tableColumn id="2" name="search_date"/>
    <x:tableColumn id="3" name="search_string_id"/>
    <x:tableColumn id="4" name="raw_records"/>
    <x:tableColumn id="5" name="duplicates_removed"/>
    <x:tableColumn id="6" name="title_abstract_screened"/>
    <x:tableColumn id="7" name="title_abstract_excluded"/>
    <x:tableColumn id="8" name="full_text_assessed"/>
    <x:tableColumn id="9" name="full_text_excluded"/>
    <x:tableColumn id="10" name="included"/>
    <x:tableColumn id="11" name="notes"/>
  </x:tableColumns>
  <x:tableStyleInfo name="TableStyleMedium2" showRowStripes="1"/>
</x:table>
</file>

<file path=xl/tables/table9.xml><?xml version="1.0" encoding="utf-8"?>
<x:table xmlns:x="http://schemas.openxmlformats.org/spreadsheetml/2006/main" id="9" name="RiskBiasTable" displayName="RiskBiasTable" ref="A1:N11" headerRowCount="1">
  <x:tableColumns count="14">
    <x:tableColumn id="1" name="citekey"/>
    <x:tableColumn id="2" name="study_type"/>
    <x:tableColumn id="3" name="tool"/>
    <x:tableColumn id="4" name="randomization_or_selection"/>
    <x:tableColumn id="5" name="confounding_or_leakage"/>
    <x:tableColumn id="6" name="missing_data"/>
    <x:tableColumn id="7" name="outcome_measurement"/>
    <x:tableColumn id="8" name="selective_reporting"/>
    <x:tableColumn id="9" name="baseline_strength"/>
    <x:tableColumn id="10" name="metric_validity"/>
    <x:tableColumn id="11" name="statistical_testing"/>
    <x:tableColumn id="12" name="reproducibility"/>
    <x:tableColumn id="13" name="overall_judgment"/>
    <x:tableColumn id="14" name="notes"/>
  </x:tableColumns>
  <x:tableStyleInfo name="TableStyleMedium2" showRowStripes="1"/>
</x:table>
</file>

<file path=xl/tables/table10.xml><?xml version="1.0" encoding="utf-8"?>
<x:table xmlns:x="http://schemas.openxmlformats.org/spreadsheetml/2006/main" id="10" name="GradeSofTable" displayName="GradeSofTable" ref="A1:K6" headerRowCount="1">
  <x:tableColumns count="11">
    <x:tableColumn id="1" name="outcome"/>
    <x:tableColumn id="2" name="number_of_studies"/>
    <x:tableColumn id="3" name="certainty_start"/>
    <x:tableColumn id="4" name="risk_of_bias"/>
    <x:tableColumn id="5" name="inconsistency"/>
    <x:tableColumn id="6" name="indirectness"/>
    <x:tableColumn id="7" name="imprecision"/>
    <x:tableColumn id="8" name="publication_bias"/>
    <x:tableColumn id="9" name="other_considerations"/>
    <x:tableColumn id="10" name="final_certainty"/>
    <x:tableColumn id="11" name="summary_of_findings"/>
  </x:tableColumns>
  <x:tableStyleInfo name="TableStyleMedium2" showRowStripes="1"/>
</x:table>
</file>

<file path=xl/tables/table11.xml><?xml version="1.0" encoding="utf-8"?>
<x:table xmlns:x="http://schemas.openxmlformats.org/spreadsheetml/2006/main" id="11" name="TagMatrixTable" displayName="TagMatrixTable" ref="A1:Z216" headerRowCount="1">
  <x:tableColumns count="26">
    <x:tableColumn id="1" name="citekey"/>
    <x:tableColumn id="2" name="year"/>
    <x:tableColumn id="3" name="title"/>
    <x:tableColumn id="4" name="category"/>
    <x:tableColumn id="5" name="factuality"/>
    <x:tableColumn id="6" name="readability"/>
    <x:tableColumn id="7" name="bangla"/>
    <x:tableColumn id="8" name="indic"/>
    <x:tableColumn id="9" name="multilingual"/>
    <x:tableColumn id="10" name="low-resource"/>
    <x:tableColumn id="11" name="ner"/>
    <x:tableColumn id="12" name="nli"/>
    <x:tableColumn id="13" name="rag"/>
    <x:tableColumn id="14" name="graph"/>
    <x:tableColumn id="15" name="constrained-decoding"/>
    <x:tableColumn id="16" name="mt5"/>
    <x:tableColumn id="17" name="llm"/>
    <x:tableColumn id="18" name="expert-validated"/>
    <x:tableColumn id="19" name="synthetic"/>
    <x:tableColumn id="20" name="human-eval"/>
    <x:tableColumn id="21" name="systematic-review"/>
    <x:tableColumn id="22" name="dataset"/>
    <x:tableColumn id="23" name="medical-text-simplification"/>
    <x:tableColumn id="24" name="health-literacy"/>
    <x:tableColumn id="25" name="medical-nli"/>
    <x:tableColumn id="26" name="baselin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a1f54a5e9e450a" /></Relationships>
</file>

<file path=xl/worksheets/_rels/sheet3.xml.rels>&#65279;<?xml version="1.0" encoding="utf-8"?><Relationships xmlns="http://schemas.openxmlformats.org/package/2006/relationships"><Relationship Type="http://schemas.openxmlformats.org/officeDocument/2006/relationships/table" Target="/xl/tables/table2.xml" Id="Re94ebfe1923647c3" /></Relationships>
</file>

<file path=xl/worksheets/_rels/sheet4.xml.rels>&#65279;<?xml version="1.0" encoding="utf-8"?><Relationships xmlns="http://schemas.openxmlformats.org/package/2006/relationships"><Relationship Type="http://schemas.openxmlformats.org/officeDocument/2006/relationships/table" Target="/xl/tables/table3.xml" Id="R7a6bd23247004eb6" /></Relationships>
</file>

<file path=xl/worksheets/_rels/sheet5.xml.rels>&#65279;<?xml version="1.0" encoding="utf-8"?><Relationships xmlns="http://schemas.openxmlformats.org/package/2006/relationships"><Relationship Type="http://schemas.openxmlformats.org/officeDocument/2006/relationships/table" Target="/xl/tables/table4.xml" Id="R8cf5971976cb4124" /></Relationships>
</file>

<file path=xl/worksheets/_rels/sheet6.xml.rels>&#65279;<?xml version="1.0" encoding="utf-8"?><Relationships xmlns="http://schemas.openxmlformats.org/package/2006/relationships"><Relationship Type="http://schemas.openxmlformats.org/officeDocument/2006/relationships/table" Target="/xl/tables/table5.xml" Id="R23877c56ace84405" /></Relationships>
</file>

<file path=xl/worksheets/_rels/sheet7.xml.rels>&#65279;<?xml version="1.0" encoding="utf-8"?><Relationships xmlns="http://schemas.openxmlformats.org/package/2006/relationships"><Relationship Type="http://schemas.openxmlformats.org/officeDocument/2006/relationships/table" Target="/xl/tables/table6.xml" Id="R5b75fec6aa8e421e" /></Relationships>
</file>

<file path=xl/worksheets/_rels/sheet8.xml.rels>&#65279;<?xml version="1.0" encoding="utf-8"?><Relationships xmlns="http://schemas.openxmlformats.org/package/2006/relationships"><Relationship Type="http://schemas.openxmlformats.org/officeDocument/2006/relationships/table" Target="/xl/tables/table7.xml" Id="Rf38a45a3b4fe4153" /></Relationships>
</file>

<file path=xl/worksheets/_rels/sheet9.xml.rels>&#65279;<?xml version="1.0" encoding="utf-8"?><Relationships xmlns="http://schemas.openxmlformats.org/package/2006/relationships"><Relationship Type="http://schemas.openxmlformats.org/officeDocument/2006/relationships/table" Target="/xl/tables/table8.xml" Id="R9453cca49d3349ec" /></Relationships>
</file>

<file path=xl/worksheets/_rels/sheet10.xml.rels>&#65279;<?xml version="1.0" encoding="utf-8"?><Relationships xmlns="http://schemas.openxmlformats.org/package/2006/relationships"><Relationship Type="http://schemas.openxmlformats.org/officeDocument/2006/relationships/table" Target="/xl/tables/table9.xml" Id="R562dcaefa601446c" /></Relationships>
</file>

<file path=xl/worksheets/_rels/sheet11.xml.rels>&#65279;<?xml version="1.0" encoding="utf-8"?><Relationships xmlns="http://schemas.openxmlformats.org/package/2006/relationships"><Relationship Type="http://schemas.openxmlformats.org/officeDocument/2006/relationships/table" Target="/xl/tables/table10.xml" Id="Rfd2aa7913e514a11" /></Relationships>
</file>

<file path=xl/worksheets/_rels/sheet13.xml.rels>&#65279;<?xml version="1.0" encoding="utf-8"?><Relationships xmlns="http://schemas.openxmlformats.org/package/2006/relationships"><Relationship Type="http://schemas.openxmlformats.org/officeDocument/2006/relationships/table" Target="/xl/tables/table11.xml" Id="Rd5d99ba0620945fc" /></Relationships>
</file>

<file path=xl/worksheets/sheet1.xml><?xml version="1.0" encoding="utf-8"?>
<x:worksheet xmlns:x="http://schemas.openxmlformats.org/spreadsheetml/2006/main">
  <x:sheetFormatPr defaultRowHeight="15"/>
  <x:cols>
    <x:col min="1" max="1" width="34" hidden="0" customWidth="1"/>
    <x:col min="2" max="2" width="18" hidden="0" customWidth="1"/>
    <x:col min="4" max="4" width="36" hidden="0" customWidth="1"/>
    <x:col min="5" max="5" width="16" hidden="0" customWidth="1"/>
    <x:col min="7" max="7" width="24" hidden="0" customWidth="1"/>
    <x:col min="8" max="8" width="24" hidden="0" customWidth="1"/>
  </x:cols>
  <x:sheetData>
    <x:row r="1">
      <x:c r="A1" s="5" t="str">
        <x:v>Factuality in Clinical Text Simplification — Reference Library Dashboard</x:v>
      </x:c>
      <x:c r="B1" s="5" t="str"/>
      <x:c r="C1" s="5" t="str"/>
      <x:c r="D1" s="5" t="str"/>
      <x:c r="E1" s="5" t="str"/>
      <x:c r="F1" s="5" t="str"/>
      <x:c r="G1" s="5" t="str"/>
      <x:c r="H1" s="5" t="str"/>
    </x:row>
    <x:row r="3">
      <x:c r="A3" s="12" t="str">
        <x:v>KPI</x:v>
      </x:c>
      <x:c r="B3" s="12" t="str">
        <x:v>Formula / value</x:v>
      </x:c>
      <x:c r="D3" s="12" t="str">
        <x:v>Verification status</x:v>
      </x:c>
      <x:c r="E3" s="12" t="str">
        <x:v>Count</x:v>
      </x:c>
    </x:row>
    <x:row r="4">
      <x:c r="A4" s="17" t="str">
        <x:v>Total reference records</x:v>
      </x:c>
      <x:c r="B4" t="n">
        <x:f>COUNTA(Master_Bibliomatrix!$A$2:$A$216)</x:f>
        <x:v>215</x:v>
      </x:c>
      <x:c r="D4" s="17" t="str">
        <x:v>doi_structurally_verified_from_source</x:v>
      </x:c>
      <x:c r="E4" t="n">
        <x:f>COUNTIF(Master_Bibliomatrix!$T$2:$T$216,D4)</x:f>
        <x:v>129</x:v>
      </x:c>
    </x:row>
    <x:row r="5">
      <x:c r="A5" s="17" t="str">
        <x:v>Records with DOI</x:v>
      </x:c>
      <x:c r="B5" t="n">
        <x:f>COUNTIF(Master_Bibliomatrix!$T$2:$T$216,"doi_structurally_verified_from_source")+COUNTIF(Master_Bibliomatrix!$T$2:$T$216,"doi_present_needs_crossref_check")</x:f>
        <x:v>155</x:v>
      </x:c>
      <x:c r="D5" s="17" t="str">
        <x:v>doi_present_needs_crossref_check</x:v>
      </x:c>
      <x:c r="E5" t="n">
        <x:f>COUNTIF(Master_Bibliomatrix!$T$2:$T$216,D5)</x:f>
        <x:v>26</x:v>
      </x:c>
    </x:row>
    <x:row r="6">
      <x:c r="A6" s="17" t="str">
        <x:v>Records with ACL Anthology ID</x:v>
      </x:c>
      <x:c r="B6" t="n">
        <x:f>SUMPRODUCT(--(Master_Bibliomatrix!$K$2:$K$216&lt;&gt;""))</x:f>
        <x:v>88</x:v>
      </x:c>
      <x:c r="D6" s="17" t="str">
        <x:v>url_stable_no_doi</x:v>
      </x:c>
      <x:c r="E6" t="n">
        <x:f>COUNTIF(Master_Bibliomatrix!$T$2:$T$216,D6)</x:f>
        <x:v>25</x:v>
      </x:c>
    </x:row>
    <x:row r="7">
      <x:c r="A7" s="17" t="str">
        <x:v>Records with arXiv ID</x:v>
      </x:c>
      <x:c r="B7" t="n">
        <x:f>SUMPRODUCT(--(Master_Bibliomatrix!$I$2:$I$216&lt;&gt;""))</x:f>
        <x:v>31</x:v>
      </x:c>
      <x:c r="D7" s="17" t="str">
        <x:v>arxiv_stable_no_doi</x:v>
      </x:c>
      <x:c r="E7" t="n">
        <x:f>COUNTIF(Master_Bibliomatrix!$T$2:$T$216,D7)</x:f>
        <x:v>23</x:v>
      </x:c>
    </x:row>
    <x:row r="8">
      <x:c r="A8" s="17" t="str">
        <x:v>Direct Bangla/Bengali records</x:v>
      </x:c>
      <x:c r="B8" t="n">
        <x:f>COUNTIF(Master_Bibliomatrix!$R$2:$R$216,"direct")</x:f>
        <x:v>16</x:v>
      </x:c>
      <x:c r="D8" s="17" t="str">
        <x:v>acl_id_stable_no_doi_field</x:v>
      </x:c>
      <x:c r="E8" t="n">
        <x:f>COUNTIF(Master_Bibliomatrix!$T$2:$T$216,D8)</x:f>
        <x:v>11</x:v>
      </x:c>
    </x:row>
    <x:row r="9">
      <x:c r="A9" s="17" t="str">
        <x:v>Transferable-to-Bangla records</x:v>
      </x:c>
      <x:c r="B9" t="n">
        <x:f>COUNTIF(Master_Bibliomatrix!$R$2:$R$216,"transferable")</x:f>
        <x:v>16</x:v>
      </x:c>
      <x:c r="D9" s="17" t="str">
        <x:v>pmid_stable_no_doi</x:v>
      </x:c>
      <x:c r="E9" t="n">
        <x:f>COUNTIF(Master_Bibliomatrix!$T$2:$T$216,D9)</x:f>
        <x:v>1</x:v>
      </x:c>
    </x:row>
    <x:row r="10">
      <x:c r="A10" s="17" t="str">
        <x:v>Expert-validated dataset/method records</x:v>
      </x:c>
      <x:c r="B10" t="n">
        <x:f>SUM(Tag_Matrix!$R$2:$R$216)</x:f>
        <x:v>4</x:v>
      </x:c>
      <x:c r="D10" s="17" t="str"/>
      <x:c r="E10" t="str"/>
    </x:row>
    <x:row r="11">
      <x:c r="A11" s="17" t="str">
        <x:v>Synthetic/automatic dataset records</x:v>
      </x:c>
      <x:c r="B11" t="n">
        <x:f>SUM(Tag_Matrix!$S$2:$S$216)</x:f>
        <x:v>2</x:v>
      </x:c>
      <x:c r="D11" s="17" t="str">
        <x:v>Use in Overleaf</x:v>
      </x:c>
      <x:c r="E11" t="str">
        <x:v>Upload .tex + .bib; compile with BibTeX</x:v>
      </x:c>
    </x:row>
    <x:row r="12">
      <x:c r="A12" s="17" t="str">
        <x:v>Core Overleaf subset records</x:v>
      </x:c>
      <x:c r="B12" t="n">
        <x:f>COUNTIF(Master_Bibliomatrix!$S$2:$S$216,"core")</x:f>
        <x:v>30</x:v>
      </x:c>
      <x:c r="D12" s="17" t="str">
        <x:v>Zotero import</x:v>
      </x:c>
      <x:c r="E12" t="str">
        <x:v>Import master .bib, then attach PDFs</x:v>
      </x:c>
    </x:row>
    <x:row r="13">
      <x:c r="A13" s="17" t="str">
        <x:v>Records needing final Crossref/manual check</x:v>
      </x:c>
      <x:c r="B13" t="n">
        <x:f>COUNTIF(Master_Bibliomatrix!$T$2:$T$216,"doi_present_needs_crossref_check")</x:f>
        <x:v>26</x:v>
      </x:c>
      <x:c r="D13" s="17" t="str">
        <x:v>Final audit</x:v>
      </x:c>
      <x:c r="E13" t="str">
        <x:v>Run verify_dois_crossref.py</x:v>
      </x:c>
    </x:row>
    <x:row r="14">
      <x:c r="A14" s="17" t="str">
        <x:v>Package version</x:v>
      </x:c>
      <x:c r="B14" t="str">
        <x:v>v1 — generated 2026-07-04</x:v>
      </x:c>
      <x:c r="D14" s="17" t="str">
        <x:v>DOI policy</x:v>
      </x:c>
      <x:c r="E14" t="str">
        <x:v>No invented DOI fields</x:v>
      </x:c>
    </x:row>
    <x:row r="17">
      <x:c r="A17" s="12" t="str">
        <x:v>Zotero collection</x:v>
      </x:c>
      <x:c r="B17" s="12" t="str">
        <x:v>Count</x:v>
      </x:c>
      <x:c r="D17" s="12" t="str">
        <x:v>Controlled tag</x:v>
      </x:c>
      <x:c r="E17" s="12" t="str">
        <x:v>Count</x:v>
      </x:c>
    </x:row>
    <x:row r="18">
      <x:c r="A18" s="20" t="str">
        <x:v>Records pending DOI/Crossref/ACL/arXiv/PubMed verification or PDF attachment</x:v>
      </x:c>
      <x:c r="B18" t="n">
        <x:f>COUNTIF(Master_Bibliomatrix!$M$2:$M$216,A18)</x:f>
        <x:v>0</x:v>
      </x:c>
      <x:c r="D18" s="20" t="str">
        <x:v>factuality</x:v>
      </x:c>
      <x:c r="E18" t="n">
        <x:f>COUNTIF(Master_Bibliomatrix!$N$2:$N$216,"*"&amp;D18&amp;"*")</x:f>
        <x:v>0</x:v>
      </x:c>
    </x:row>
    <x:row r="19">
      <x:c r="A19" s="20" t="str">
        <x:v>Medical/clinical text simplification and patient-facing explanations</x:v>
      </x:c>
      <x:c r="B19" t="n">
        <x:f>COUNTIF(Master_Bibliomatrix!$M$2:$M$216,A19)</x:f>
        <x:v>0</x:v>
      </x:c>
      <x:c r="D19" s="20" t="str">
        <x:v>readability</x:v>
      </x:c>
      <x:c r="E19" t="n">
        <x:f>COUNTIF(Master_Bibliomatrix!$N$2:$N$216,"*"&amp;D19&amp;"*")</x:f>
        <x:v>0</x:v>
      </x:c>
    </x:row>
    <x:row r="20">
      <x:c r="A20" s="20" t="str">
        <x:v>Multilingual/cross-lingual/low-resource text simplification</x:v>
      </x:c>
      <x:c r="B20" t="n">
        <x:f>COUNTIF(Master_Bibliomatrix!$M$2:$M$216,A20)</x:f>
        <x:v>0</x:v>
      </x:c>
      <x:c r="D20" s="20" t="str">
        <x:v>bangla</x:v>
      </x:c>
      <x:c r="E20" t="n">
        <x:f>COUNTIF(Master_Bibliomatrix!$N$2:$N$216,"*"&amp;D20&amp;"*")</x:f>
        <x:v>0</x:v>
      </x:c>
    </x:row>
    <x:row r="21">
      <x:c r="A21" s="20" t="str">
        <x:v>Bangla/Bengali healthcare NLP, Bangla resources, Indic transfer</x:v>
      </x:c>
      <x:c r="B21" t="n">
        <x:f>COUNTIF(Master_Bibliomatrix!$M$2:$M$216,A21)</x:f>
        <x:v>0</x:v>
      </x:c>
      <x:c r="D21" s="20" t="str">
        <x:v>indic</x:v>
      </x:c>
      <x:c r="E21" t="n">
        <x:f>COUNTIF(Master_Bibliomatrix!$N$2:$N$216,"*"&amp;D21&amp;"*")</x:f>
        <x:v>0</x:v>
      </x:c>
    </x:row>
    <x:row r="22">
      <x:c r="A22" s="20" t="str">
        <x:v>Factuality, faithfulness, hallucination, attribution, fact checking</x:v>
      </x:c>
      <x:c r="B22" t="n">
        <x:f>COUNTIF(Master_Bibliomatrix!$M$2:$M$216,A22)</x:f>
        <x:v>0</x:v>
      </x:c>
      <x:c r="D22" s="20" t="str">
        <x:v>multilingual</x:v>
      </x:c>
      <x:c r="E22" t="n">
        <x:f>COUNTIF(Master_Bibliomatrix!$N$2:$N$216,"*"&amp;D22&amp;"*")</x:f>
        <x:v>0</x:v>
      </x:c>
    </x:row>
    <x:row r="23">
      <x:c r="A23" s="20" t="str">
        <x:v>Lexically constrained, logic-constrained, and controlled generation</x:v>
      </x:c>
      <x:c r="B23" t="n">
        <x:f>COUNTIF(Master_Bibliomatrix!$M$2:$M$216,A23)</x:f>
        <x:v>0</x:v>
      </x:c>
      <x:c r="D23" s="20" t="str">
        <x:v>low-resource</x:v>
      </x:c>
      <x:c r="E23" t="n">
        <x:f>COUNTIF(Master_Bibliomatrix!$N$2:$N$216,"*"&amp;D23&amp;"*")</x:f>
        <x:v>0</x:v>
      </x:c>
    </x:row>
    <x:row r="24">
      <x:c r="A24" s="20" t="str">
        <x:v>RAG, KG, graph, medical QA, terminology, clinical grounding</x:v>
      </x:c>
      <x:c r="B24" t="n">
        <x:f>COUNTIF(Master_Bibliomatrix!$M$2:$M$216,A24)</x:f>
        <x:v>0</x:v>
      </x:c>
      <x:c r="D24" s="20" t="str">
        <x:v>ner</x:v>
      </x:c>
      <x:c r="E24" t="n">
        <x:f>COUNTIF(Master_Bibliomatrix!$N$2:$N$216,"*"&amp;D24&amp;"*")</x:f>
        <x:v>0</x:v>
      </x:c>
    </x:row>
    <x:row r="25">
      <x:c r="A25" s="20" t="str">
        <x:v>Clinical/medical NLI, XNLI/IndicXNLI, biomedical fact verification</x:v>
      </x:c>
      <x:c r="B25" t="n">
        <x:f>COUNTIF(Master_Bibliomatrix!$M$2:$M$216,A25)</x:f>
        <x:v>0</x:v>
      </x:c>
      <x:c r="D25" s="20" t="str">
        <x:v>nli</x:v>
      </x:c>
      <x:c r="E25" t="n">
        <x:f>COUNTIF(Master_Bibliomatrix!$N$2:$N$216,"*"&amp;D25&amp;"*")</x:f>
        <x:v>0</x:v>
      </x:c>
    </x:row>
    <x:row r="26">
      <x:c r="A26" s="20" t="str">
        <x:v>Readability, automatic metrics, human evaluation, agreement</x:v>
      </x:c>
      <x:c r="B26" t="n">
        <x:f>COUNTIF(Master_Bibliomatrix!$M$2:$M$216,A26)</x:f>
        <x:v>0</x:v>
      </x:c>
      <x:c r="D26" s="20" t="str">
        <x:v>rag</x:v>
      </x:c>
      <x:c r="E26" t="n">
        <x:f>COUNTIF(Master_Bibliomatrix!$N$2:$N$216,"*"&amp;D26&amp;"*")</x:f>
        <x:v>0</x:v>
      </x:c>
    </x:row>
    <x:row r="27">
      <x:c r="A27" s="20" t="str">
        <x:v>PRISMA, PRISMA-S, SWiM, GRADE, RoB, AMSTAR, bibliometrics</x:v>
      </x:c>
      <x:c r="B27" t="n">
        <x:f>COUNTIF(Master_Bibliomatrix!$M$2:$M$216,A27)</x:f>
        <x:v>0</x:v>
      </x:c>
      <x:c r="D27" s="20" t="str">
        <x:v>graph</x:v>
      </x:c>
      <x:c r="E27" t="n">
        <x:f>COUNTIF(Master_Bibliomatrix!$N$2:$N$216,"*"&amp;D27&amp;"*")</x:f>
        <x:v>0</x:v>
      </x:c>
    </x:row>
    <x:row r="28">
      <x:c r="A28" s="20" t="str">
        <x:v>LLM backbones, multilingual transfer, adapters, quantization</x:v>
      </x:c>
      <x:c r="B28" t="n">
        <x:f>COUNTIF(Master_Bibliomatrix!$M$2:$M$216,A28)</x:f>
        <x:v>0</x:v>
      </x:c>
      <x:c r="D28" s="20" t="str">
        <x:v>constrained-decoding</x:v>
      </x:c>
      <x:c r="E28" t="n">
        <x:f>COUNTIF(Master_Bibliomatrix!$N$2:$N$216,"*"&amp;D28&amp;"*")</x:f>
        <x:v>0</x:v>
      </x:c>
    </x:row>
    <x:row r="29">
      <x:c r="A29" s="20" t="str">
        <x:v>MIMIC, clinical corpora, clinical NLP toolkits/resources</x:v>
      </x:c>
      <x:c r="B29" t="n">
        <x:f>COUNTIF(Master_Bibliomatrix!$M$2:$M$216,A29)</x:f>
        <x:v>0</x:v>
      </x:c>
      <x:c r="D29" s="20" t="str">
        <x:v>mt5</x:v>
      </x:c>
      <x:c r="E29" t="n">
        <x:f>COUNTIF(Master_Bibliomatrix!$N$2:$N$216,"*"&amp;D29&amp;"*")</x:f>
        <x:v>0</x:v>
      </x:c>
    </x:row>
    <x:row r="30">
      <x:c r="A30" s="20" t="str">
        <x:v>Biomedical summarization, lay summarization, health literacy</x:v>
      </x:c>
      <x:c r="B30" t="n">
        <x:f>COUNTIF(Master_Bibliomatrix!$M$2:$M$216,A30)</x:f>
        <x:v>0</x:v>
      </x:c>
      <x:c r="D30" s="20" t="str">
        <x:v>llm</x:v>
      </x:c>
      <x:c r="E30" t="n">
        <x:f>COUNTIF(Master_Bibliomatrix!$N$2:$N$216,"*"&amp;D30&amp;"*")</x:f>
        <x:v>0</x:v>
      </x:c>
    </x:row>
    <x:row r="31">
      <x:c r="A31" s="20"/>
      <x:c r="D31" s="20" t="str">
        <x:v>expert-validated</x:v>
      </x:c>
      <x:c r="E31" t="n">
        <x:f>COUNTIF(Master_Bibliomatrix!$N$2:$N$216,"*"&amp;D31&amp;"*")</x:f>
        <x:v>0</x:v>
      </x:c>
    </x:row>
    <x:row r="32">
      <x:c r="A32" s="20"/>
      <x:c r="D32" s="20" t="str">
        <x:v>synthetic</x:v>
      </x:c>
      <x:c r="E32" t="n">
        <x:f>COUNTIF(Master_Bibliomatrix!$N$2:$N$216,"*"&amp;D32&amp;"*")</x:f>
        <x:v>0</x:v>
      </x:c>
    </x:row>
    <x:row r="33">
      <x:c r="A33" s="20"/>
      <x:c r="D33" s="20" t="str">
        <x:v>human-eval</x:v>
      </x:c>
      <x:c r="E33" t="n">
        <x:f>COUNTIF(Master_Bibliomatrix!$N$2:$N$216,"*"&amp;D33&amp;"*")</x:f>
        <x:v>0</x:v>
      </x:c>
    </x:row>
    <x:row r="34">
      <x:c r="A34" s="20"/>
      <x:c r="D34" s="20" t="str">
        <x:v>systematic-review</x:v>
      </x:c>
      <x:c r="E34" t="n">
        <x:f>COUNTIF(Master_Bibliomatrix!$N$2:$N$216,"*"&amp;D34&amp;"*")</x:f>
        <x:v>0</x:v>
      </x:c>
    </x:row>
    <x:row r="35">
      <x:c r="A35" s="20"/>
      <x:c r="D35" s="20" t="str">
        <x:v>dataset</x:v>
      </x:c>
      <x:c r="E35" t="n">
        <x:f>COUNTIF(Master_Bibliomatrix!$N$2:$N$216,"*"&amp;D35&amp;"*")</x:f>
        <x:v>0</x:v>
      </x:c>
    </x:row>
    <x:row r="36">
      <x:c r="A36" s="20"/>
      <x:c r="D36" s="20" t="str">
        <x:v>medical-text-simplification</x:v>
      </x:c>
      <x:c r="E36" t="n">
        <x:f>COUNTIF(Master_Bibliomatrix!$N$2:$N$216,"*"&amp;D36&amp;"*")</x:f>
        <x:v>0</x:v>
      </x:c>
    </x:row>
    <x:row r="37">
      <x:c r="A37" s="20"/>
      <x:c r="D37" s="20" t="str">
        <x:v>health-literacy</x:v>
      </x:c>
      <x:c r="E37" t="n">
        <x:f>COUNTIF(Master_Bibliomatrix!$N$2:$N$216,"*"&amp;D37&amp;"*")</x:f>
        <x:v>0</x:v>
      </x:c>
    </x:row>
    <x:row r="38">
      <x:c r="A38" s="20"/>
      <x:c r="D38" s="20" t="str">
        <x:v>medical-nli</x:v>
      </x:c>
      <x:c r="E38" t="n">
        <x:f>COUNTIF(Master_Bibliomatrix!$N$2:$N$216,"*"&amp;D38&amp;"*")</x:f>
        <x:v>0</x:v>
      </x:c>
    </x:row>
    <x:row r="39">
      <x:c r="A39" s="20"/>
      <x:c r="D39" s="20" t="str">
        <x:v>baseline</x:v>
      </x:c>
      <x:c r="E39" t="n">
        <x:f>COUNTIF(Master_Bibliomatrix!$N$2:$N$216,"*"&amp;D39&amp;"*")</x:f>
        <x:v>0</x:v>
      </x:c>
    </x:row>
    <x:row r="40">
      <x:c r="A40" s="20"/>
      <x:c r="D40" s="20"/>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6" hidden="0" customWidth="1"/>
    <x:col min="3" max="3" width="32" hidden="0" customWidth="1"/>
    <x:col min="4" max="4" width="16" hidden="0" customWidth="1"/>
    <x:col min="5" max="5" width="36" hidden="0" customWidth="1"/>
    <x:col min="6" max="6" width="16" hidden="0" customWidth="1"/>
    <x:col min="7" max="7" width="22" hidden="0" customWidth="1"/>
    <x:col min="8" max="8" width="32" hidden="0" customWidth="1"/>
    <x:col min="9" max="9" width="22" hidden="0" customWidth="1"/>
    <x:col min="10" max="10" width="22" hidden="0" customWidth="1"/>
    <x:col min="11" max="11" width="22" hidden="0" customWidth="1"/>
    <x:col min="12" max="12" width="16" hidden="0" customWidth="1"/>
    <x:col min="13" max="13" width="16" hidden="0" customWidth="1"/>
    <x:col min="14" max="14" width="26" hidden="0" customWidth="1"/>
    <x:col min="15" max="15" width="16" hidden="0" customWidth="1"/>
    <x:col min="16" max="16" width="16" hidden="0" customWidth="1"/>
    <x:col min="17" max="17" width="26" hidden="0" customWidth="1"/>
    <x:col min="18" max="18" width="16" hidden="0" customWidth="1"/>
    <x:col min="19" max="19" width="16" hidden="0" customWidth="1"/>
    <x:col min="20" max="20" width="16" hidden="0" customWidth="1"/>
    <x:col min="21" max="21" width="36" hidden="0" customWidth="1"/>
    <x:col min="22" max="22" width="36" hidden="0" customWidth="1"/>
  </x:cols>
  <x:sheetData>
    <x:row r="1">
      <x:c r="A1" s="24" t="str">
        <x:v>citekey</x:v>
      </x:c>
      <x:c r="B1" s="24" t="str">
        <x:v>entry_type</x:v>
      </x:c>
      <x:c r="C1" s="24" t="str">
        <x:v>author</x:v>
      </x:c>
      <x:c r="D1" s="24" t="str">
        <x:v>year</x:v>
      </x:c>
      <x:c r="E1" s="24" t="str">
        <x:v>title</x:v>
      </x:c>
      <x:c r="F1" s="24" t="str">
        <x:v>venue</x:v>
      </x:c>
      <x:c r="G1" s="24" t="str">
        <x:v>doi</x:v>
      </x:c>
      <x:c r="H1" s="24" t="str">
        <x:v>url</x:v>
      </x:c>
      <x:c r="I1" s="24" t="str">
        <x:v>arxiv</x:v>
      </x:c>
      <x:c r="J1" s="24" t="str">
        <x:v>pmid</x:v>
      </x:c>
      <x:c r="K1" s="24" t="str">
        <x:v>acl_id</x:v>
      </x:c>
      <x:c r="L1" s="24" t="str">
        <x:v>category</x:v>
      </x:c>
      <x:c r="M1" s="24" t="str">
        <x:v>collection</x:v>
      </x:c>
      <x:c r="N1" s="24" t="str">
        <x:v>tags</x:v>
      </x:c>
      <x:c r="O1" s="24" t="str">
        <x:v>task</x:v>
      </x:c>
      <x:c r="P1" s="24" t="str">
        <x:v>languages</x:v>
      </x:c>
      <x:c r="Q1" s="24" t="str">
        <x:v>factuality_mechanism</x:v>
      </x:c>
      <x:c r="R1" s="24" t="str">
        <x:v>bangla_relevance</x:v>
      </x:c>
      <x:c r="S1" s="24" t="str">
        <x:v>inclusion_role</x:v>
      </x:c>
      <x:c r="T1" s="24" t="str">
        <x:v>verification_status</x:v>
      </x:c>
      <x:c r="U1" s="24" t="str">
        <x:v>source_note</x:v>
      </x:c>
      <x:c r="V1" s="24" t="str">
        <x:v>note</x:v>
      </x:c>
    </x:row>
    <x:row r="2">
      <x:c r="A2" s="20" t="str">
        <x:v>basu2023_med_easi_finely</x:v>
      </x:c>
      <x:c r="B2" s="20" t="str">
        <x:v>inproceedings</x:v>
      </x:c>
      <x:c r="C2" s="20" t="str">
        <x:v>Basu, Chandrayee and Vasu, Rosni and Yasunaga, Michihiro and Yang, Qian</x:v>
      </x:c>
      <x:c r="D2" s="20" t="str">
        <x:v>2023</x:v>
      </x:c>
      <x:c r="E2" s="20" t="str">
        <x:v>Med-EASi: Finely Annotated Dataset and Models for Controllable Simplification of Medical Texts</x:v>
      </x:c>
      <x:c r="F2" s="20" t="str">
        <x:v>Proceedings of the AAAI Conference on Artificial Intelligence</x:v>
      </x:c>
      <x:c r="G2" s="20" t="str">
        <x:v>10.1609/aaai.v37i12.26649</x:v>
      </x:c>
      <x:c r="H2" s="20" t="str">
        <x:v>https://ojs.aaai.org/index.php/AAAI/article/view/26649</x:v>
      </x:c>
      <x:c r="I2" s="20" t="str"/>
      <x:c r="J2" s="20" t="str"/>
      <x:c r="K2" s="20" t="str"/>
      <x:c r="L2" s="20" t="str">
        <x:v>01_Core_Clinical_TS</x:v>
      </x:c>
      <x:c r="M2" s="20" t="str">
        <x:v>01_Core_Clinical_TS</x:v>
      </x:c>
      <x:c r="N2" s="20" t="str">
        <x:v>core;dataset;expert-validated;medical-text-simplification;readability</x:v>
      </x:c>
      <x:c r="O2" s="20" t="str">
        <x:v>simplification</x:v>
      </x:c>
      <x:c r="P2" s="20" t="str">
        <x:v>en</x:v>
      </x:c>
      <x:c r="Q2" s="20" t="str">
        <x:v>human_eval</x:v>
      </x:c>
      <x:c r="R2" s="20" t="str">
        <x:v>not_applicable</x:v>
      </x:c>
      <x:c r="S2" s="20" t="str">
        <x:v>core</x:v>
      </x:c>
      <x:c r="T2" s="20" t="str">
        <x:v>doi_structurally_verified_from_source</x:v>
      </x:c>
      <x:c r="U2" s="20" t="str">
        <x:v>manual_seed</x:v>
      </x:c>
      <x:c r="V2" s="20" t="str"/>
    </x:row>
    <x:row r="3">
      <x:c r="A3" s="20" t="str">
        <x:v>horiguchi2025_multimsd_multilingual_medical</x:v>
      </x:c>
      <x:c r="B3" s="20" t="str">
        <x:v>inproceedings</x:v>
      </x:c>
      <x:c r="C3" s="20" t="str">
        <x:v>Horiguchi, Koki and Kajiwara, Tomoyuki and Ninomiya, Takashi and Wakamiya, Shoko and Aramaki, Eiji</x:v>
      </x:c>
      <x:c r="D3" s="20" t="str">
        <x:v>2025</x:v>
      </x:c>
      <x:c r="E3" s="20" t="str">
        <x:v>MultiMSD: A Corpus for Multilingual Medical Text Simplification from Online Medical References</x:v>
      </x:c>
      <x:c r="F3" s="20" t="str">
        <x:v>Findings of the Association for Computational Linguistics: ACL 2025</x:v>
      </x:c>
      <x:c r="G3" s="20" t="str">
        <x:v>10.18653/v1/2025.findings-acl.481</x:v>
      </x:c>
      <x:c r="H3" s="20" t="str">
        <x:v>https://aclanthology.org/2025.findings-acl.481/</x:v>
      </x:c>
      <x:c r="I3" s="20" t="str"/>
      <x:c r="J3" s="20" t="str"/>
      <x:c r="K3" s="20" t="str">
        <x:v>2025.findings-acl.481</x:v>
      </x:c>
      <x:c r="L3" s="20" t="str">
        <x:v>01_Core_Clinical_TS</x:v>
      </x:c>
      <x:c r="M3" s="20" t="str">
        <x:v>01_Core_Clinical_TS</x:v>
      </x:c>
      <x:c r="N3" s="20" t="str">
        <x:v>core;dataset;medical-text-simplification;multilingual</x:v>
      </x:c>
      <x:c r="O3" s="20" t="str">
        <x:v>simplification</x:v>
      </x:c>
      <x:c r="P3" s="20" t="str">
        <x:v>de;en;es;fr;it;ja;pt;ru;zh</x:v>
      </x:c>
      <x:c r="Q3" s="20" t="str">
        <x:v>human_eval</x:v>
      </x:c>
      <x:c r="R3" s="20" t="str">
        <x:v>transferable</x:v>
      </x:c>
      <x:c r="S3" s="20" t="str">
        <x:v>core</x:v>
      </x:c>
      <x:c r="T3" s="20" t="str">
        <x:v>doi_structurally_verified_from_source</x:v>
      </x:c>
      <x:c r="U3" s="20" t="str">
        <x:v>manual_seed</x:v>
      </x:c>
      <x:c r="V3" s="20" t="str"/>
    </x:row>
    <x:row r="4">
      <x:c r="A4" s="20" t="str">
        <x:v>joseph2023_multilingual_simplification_medical</x:v>
      </x:c>
      <x:c r="B4" s="20" t="str">
        <x:v>inproceedings</x:v>
      </x:c>
      <x:c r="C4" s="20" t="str">
        <x:v>Joseph, Sebastian and Kazanas, Kathryn and Reina, Keziah and Ramanathan, Vishnesh J. and Xu, Wei and Wallace, Byron C. and Li, Junyi Jessy</x:v>
      </x:c>
      <x:c r="D4" s="20" t="str">
        <x:v>2023</x:v>
      </x:c>
      <x:c r="E4" s="20" t="str">
        <x:v>Multilingual Simplification of Medical Texts</x:v>
      </x:c>
      <x:c r="F4" s="20" t="str">
        <x:v>Proceedings of the 2023 Conference on Empirical Methods in Natural Language Processing</x:v>
      </x:c>
      <x:c r="G4" s="20" t="str">
        <x:v>10.18653/v1/2023.emnlp-main.1037</x:v>
      </x:c>
      <x:c r="H4" s="20" t="str">
        <x:v>https://aclanthology.org/2023.emnlp-main.1037/</x:v>
      </x:c>
      <x:c r="I4" s="20" t="str">
        <x:v>2305.12532</x:v>
      </x:c>
      <x:c r="J4" s="20" t="str"/>
      <x:c r="K4" s="20" t="str">
        <x:v>2023.emnlp-main.1037</x:v>
      </x:c>
      <x:c r="L4" s="20" t="str">
        <x:v>01_Core_Clinical_TS</x:v>
      </x:c>
      <x:c r="M4" s="20" t="str">
        <x:v>01_Core_Clinical_TS</x:v>
      </x:c>
      <x:c r="N4" s="20" t="str">
        <x:v>core;dataset;human-eval;medical-text-simplification;multilingual</x:v>
      </x:c>
      <x:c r="O4" s="20" t="str">
        <x:v>simplification</x:v>
      </x:c>
      <x:c r="P4" s="20" t="str">
        <x:v>en;es;fr;fa</x:v>
      </x:c>
      <x:c r="Q4" s="20" t="str">
        <x:v>human_eval</x:v>
      </x:c>
      <x:c r="R4" s="20" t="str">
        <x:v>transferable</x:v>
      </x:c>
      <x:c r="S4" s="20" t="str">
        <x:v>core</x:v>
      </x:c>
      <x:c r="T4" s="20" t="str">
        <x:v>doi_structurally_verified_from_source</x:v>
      </x:c>
      <x:c r="U4" s="20" t="str">
        <x:v>manual_seed</x:v>
      </x:c>
      <x:c r="V4" s="20" t="str"/>
    </x:row>
    <x:row r="5">
      <x:c r="A5" s="20" t="str">
        <x:v>bakker2024_cochrane_auto_aligned</x:v>
      </x:c>
      <x:c r="B5" s="20" t="str">
        <x:v>inproceedings</x:v>
      </x:c>
      <x:c r="C5" s="20" t="str">
        <x:v>Bakker, Jan and Kamps, Jaap</x:v>
      </x:c>
      <x:c r="D5" s="20" t="str">
        <x:v>2024</x:v>
      </x:c>
      <x:c r="E5" s="20" t="str">
        <x:v>Cochrane-auto: An Aligned Dataset for the Simplification of Biomedical Abstracts</x:v>
      </x:c>
      <x:c r="F5" s="20" t="str">
        <x:v>Proceedings of the Third Workshop on Text Simplification, Accessibility and Readability</x:v>
      </x:c>
      <x:c r="G5" s="20" t="str">
        <x:v>10.18653/v1/2024.tsar-1.5</x:v>
      </x:c>
      <x:c r="H5" s="20" t="str">
        <x:v>https://aclanthology.org/2024.tsar-1.5/</x:v>
      </x:c>
      <x:c r="I5" s="20" t="str"/>
      <x:c r="J5" s="20" t="str"/>
      <x:c r="K5" s="20" t="str">
        <x:v>2024.tsar-1.5</x:v>
      </x:c>
      <x:c r="L5" s="20" t="str">
        <x:v>01_Core_Clinical_TS</x:v>
      </x:c>
      <x:c r="M5" s="20" t="str">
        <x:v>01_Core_Clinical_TS</x:v>
      </x:c>
      <x:c r="N5" s="20" t="str">
        <x:v>biomedical;core;dataset;readability;synthetic</x:v>
      </x:c>
      <x:c r="O5" s="20" t="str">
        <x:v>simplification</x:v>
      </x:c>
      <x:c r="P5" s="20" t="str">
        <x:v>en</x:v>
      </x:c>
      <x:c r="Q5" s="20" t="str">
        <x:v>none</x:v>
      </x:c>
      <x:c r="R5" s="20" t="str">
        <x:v>not_applicable</x:v>
      </x:c>
      <x:c r="S5" s="20" t="str">
        <x:v>core</x:v>
      </x:c>
      <x:c r="T5" s="20" t="str">
        <x:v>doi_structurally_verified_from_source</x:v>
      </x:c>
      <x:c r="U5" s="20" t="str">
        <x:v>manual_seed</x:v>
      </x:c>
      <x:c r="V5" s="20" t="str"/>
    </x:row>
    <x:row r="6">
      <x:c r="A6" s="20" t="str">
        <x:v>yao2024_readme_bridging_medical</x:v>
      </x:c>
      <x:c r="B6" s="20" t="str">
        <x:v>inproceedings</x:v>
      </x:c>
      <x:c r="C6" s="20" t="str">
        <x:v>Yao, Zonghai and Kantu, Nandyala Siddharth and Wei, Guanghao and Tran, Hieu and Duan, Zhangqi and Kwon, Sunjae and Yang, Zhichao and Yu, Hong</x:v>
      </x:c>
      <x:c r="D6" s="20" t="str">
        <x:v>2024</x:v>
      </x:c>
      <x:c r="E6" s="20" t="str">
        <x:v>README: Bridging Medical Jargon and Lay Understanding for Patient Education through Data-Centric NLP</x:v>
      </x:c>
      <x:c r="F6" s="20" t="str">
        <x:v>Findings of the Association for Computational Linguistics: EMNLP 2024</x:v>
      </x:c>
      <x:c r="G6" s="20" t="str">
        <x:v>10.18653/v1/2024.findings-emnlp.737</x:v>
      </x:c>
      <x:c r="H6" s="20" t="str">
        <x:v>https://aclanthology.org/2024.findings-emnlp.737/</x:v>
      </x:c>
      <x:c r="I6" s="20" t="str"/>
      <x:c r="J6" s="20" t="str"/>
      <x:c r="K6" s="20" t="str">
        <x:v>2024.findings-emnlp.737</x:v>
      </x:c>
      <x:c r="L6" s="20" t="str">
        <x:v>01_Core_Clinical_TS</x:v>
      </x:c>
      <x:c r="M6" s="20" t="str">
        <x:v>01_Core_Clinical_TS</x:v>
      </x:c>
      <x:c r="N6" s="20" t="str">
        <x:v>core;dataset;expert-validated;medical-jargon;patient-education</x:v>
      </x:c>
      <x:c r="O6" s="20" t="str">
        <x:v>jargon-definition;explanation</x:v>
      </x:c>
      <x:c r="P6" s="20" t="str">
        <x:v>en</x:v>
      </x:c>
      <x:c r="Q6" s="20" t="str">
        <x:v>human_eval</x:v>
      </x:c>
      <x:c r="R6" s="20" t="str">
        <x:v>not_applicable</x:v>
      </x:c>
      <x:c r="S6" s="20" t="str">
        <x:v>core</x:v>
      </x:c>
      <x:c r="T6" s="20" t="str">
        <x:v>doi_structurally_verified_from_source</x:v>
      </x:c>
      <x:c r="U6" s="20" t="str">
        <x:v>manual_seed</x:v>
      </x:c>
      <x:c r="V6" s="20" t="str"/>
    </x:row>
    <x:row r="7">
      <x:c r="A7" s="20" t="str">
        <x:v>devaraj2021_paragraph_level_simplification</x:v>
      </x:c>
      <x:c r="B7" s="20" t="str">
        <x:v>inproceedings</x:v>
      </x:c>
      <x:c r="C7" s="20" t="str">
        <x:v>Devaraj, Ashwin and Marshall, Iain J. and Wallace, Byron C. and Li, Junyi Jessy</x:v>
      </x:c>
      <x:c r="D7" s="20" t="str">
        <x:v>2021</x:v>
      </x:c>
      <x:c r="E7" s="20" t="str">
        <x:v>Paragraph-level Simplification of Medical Texts</x:v>
      </x:c>
      <x:c r="F7" s="20" t="str">
        <x:v>Proceedings of the 2021 Conference of the North American Chapter of the Association for Computational Linguistics: Human Language Technologies</x:v>
      </x:c>
      <x:c r="G7" s="20" t="str">
        <x:v>10.18653/v1/2021.naacl-main.395</x:v>
      </x:c>
      <x:c r="H7" s="20" t="str">
        <x:v>https://aclanthology.org/2021.naacl-main.395/</x:v>
      </x:c>
      <x:c r="I7" s="20" t="str"/>
      <x:c r="J7" s="20" t="str"/>
      <x:c r="K7" s="20" t="str">
        <x:v>2021.naacl-main.395</x:v>
      </x:c>
      <x:c r="L7" s="20" t="str">
        <x:v>01_Core_Clinical_TS</x:v>
      </x:c>
      <x:c r="M7" s="20" t="str">
        <x:v>01_Core_Clinical_TS</x:v>
      </x:c>
      <x:c r="N7" s="20" t="str">
        <x:v>core;medical-text-simplification;readability</x:v>
      </x:c>
      <x:c r="O7" s="20" t="str">
        <x:v>simplification</x:v>
      </x:c>
      <x:c r="P7" s="20" t="str">
        <x:v>en</x:v>
      </x:c>
      <x:c r="Q7" s="20" t="str">
        <x:v>metric</x:v>
      </x:c>
      <x:c r="R7" s="20" t="str">
        <x:v>not_applicable</x:v>
      </x:c>
      <x:c r="S7" s="20" t="str">
        <x:v>core</x:v>
      </x:c>
      <x:c r="T7" s="20" t="str">
        <x:v>doi_structurally_verified_from_source</x:v>
      </x:c>
      <x:c r="U7" s="20" t="str">
        <x:v>manual_seed</x:v>
      </x:c>
      <x:c r="V7" s="20" t="str"/>
    </x:row>
    <x:row r="8">
      <x:c r="A8" s="20" t="str">
        <x:v>devaraj2022_evaluating_factuality_text</x:v>
      </x:c>
      <x:c r="B8" s="20" t="str">
        <x:v>inproceedings</x:v>
      </x:c>
      <x:c r="C8" s="20" t="str">
        <x:v>Devaraj, Ashwin and Sheffield, William and Wallace, Byron C. and Li, Junyi Jessy</x:v>
      </x:c>
      <x:c r="D8" s="20" t="str">
        <x:v>2022</x:v>
      </x:c>
      <x:c r="E8" s="20" t="str">
        <x:v>Evaluating Factuality in Text Simplification</x:v>
      </x:c>
      <x:c r="F8" s="20" t="str">
        <x:v>Proceedings of the 60th Annual Meeting of the Association for Computational Linguistics (Volume 1: Long Papers)</x:v>
      </x:c>
      <x:c r="G8" s="20" t="str">
        <x:v>10.18653/v1/2022.acl-long.506</x:v>
      </x:c>
      <x:c r="H8" s="20" t="str">
        <x:v>https://aclanthology.org/2022.acl-long.506/</x:v>
      </x:c>
      <x:c r="I8" s="20" t="str"/>
      <x:c r="J8" s="20" t="str"/>
      <x:c r="K8" s="20" t="str">
        <x:v>2022.acl-long.506</x:v>
      </x:c>
      <x:c r="L8" s="20" t="str">
        <x:v>01_Core_Clinical_TS</x:v>
      </x:c>
      <x:c r="M8" s="20" t="str">
        <x:v>01_Core_Clinical_TS</x:v>
      </x:c>
      <x:c r="N8" s="20" t="str">
        <x:v>core;factuality;human-eval;text-simplification</x:v>
      </x:c>
      <x:c r="O8" s="20" t="str">
        <x:v>evaluation;simplification</x:v>
      </x:c>
      <x:c r="P8" s="20" t="str">
        <x:v>en</x:v>
      </x:c>
      <x:c r="Q8" s="20" t="str">
        <x:v>human_eval</x:v>
      </x:c>
      <x:c r="R8" s="20" t="str">
        <x:v>not_applicable</x:v>
      </x:c>
      <x:c r="S8" s="20" t="str">
        <x:v>core</x:v>
      </x:c>
      <x:c r="T8" s="20" t="str">
        <x:v>doi_structurally_verified_from_source</x:v>
      </x:c>
      <x:c r="U8" s="20" t="str">
        <x:v>manual_seed</x:v>
      </x:c>
      <x:c r="V8" s="20" t="str"/>
    </x:row>
    <x:row r="9">
      <x:c r="A9" s="20" t="str">
        <x:v>flores2023_medical_text_simplification</x:v>
      </x:c>
      <x:c r="B9" s="20" t="str">
        <x:v>inproceedings</x:v>
      </x:c>
      <x:c r="C9" s="20" t="str">
        <x:v>Flores, Lorenzo Jaime Yu and Huang, Heyuan and Shi, Kejian and Chheang, Sophie and Cohan, Arman</x:v>
      </x:c>
      <x:c r="D9" s="20" t="str">
        <x:v>2023</x:v>
      </x:c>
      <x:c r="E9" s="20" t="str">
        <x:v>Medical Text Simplification: Optimizing for Readability with Unlikelihood Training and Reranked Beam Search Decoding</x:v>
      </x:c>
      <x:c r="F9" s="20" t="str">
        <x:v>Findings of the Association for Computational Linguistics: EMNLP 2023</x:v>
      </x:c>
      <x:c r="G9" s="20" t="str">
        <x:v>10.18653/v1/2023.findings-emnlp.322</x:v>
      </x:c>
      <x:c r="H9" s="20" t="str">
        <x:v>https://aclanthology.org/2023.findings-emnlp.322/</x:v>
      </x:c>
      <x:c r="I9" s="20" t="str">
        <x:v>2310.11191</x:v>
      </x:c>
      <x:c r="J9" s="20" t="str"/>
      <x:c r="K9" s="20" t="str">
        <x:v>2023.findings-emnlp.322</x:v>
      </x:c>
      <x:c r="L9" s="20" t="str">
        <x:v>01_Core_Clinical_TS</x:v>
      </x:c>
      <x:c r="M9" s="20" t="str">
        <x:v>01_Core_Clinical_TS</x:v>
      </x:c>
      <x:c r="N9" s="20" t="str">
        <x:v>constrained-decoding;core;medical-text-simplification;readability</x:v>
      </x:c>
      <x:c r="O9" s="20" t="str">
        <x:v>simplification</x:v>
      </x:c>
      <x:c r="P9" s="20" t="str">
        <x:v>en</x:v>
      </x:c>
      <x:c r="Q9" s="20" t="str">
        <x:v>lexical_constraint</x:v>
      </x:c>
      <x:c r="R9" s="20" t="str">
        <x:v>not_applicable</x:v>
      </x:c>
      <x:c r="S9" s="20" t="str">
        <x:v>core</x:v>
      </x:c>
      <x:c r="T9" s="20" t="str">
        <x:v>doi_structurally_verified_from_source</x:v>
      </x:c>
      <x:c r="U9" s="20" t="str">
        <x:v>manual_seed</x:v>
      </x:c>
      <x:c r="V9" s="20" t="str"/>
    </x:row>
    <x:row r="10">
      <x:c r="A10" s="20" t="str">
        <x:v>phatak2022_medical_text_simplification</x:v>
      </x:c>
      <x:c r="B10" s="20" t="str">
        <x:v>article</x:v>
      </x:c>
      <x:c r="C10" s="20" t="str">
        <x:v>Phatak, Atharva and Savage, Daniel W. and Zhang, Xiaomeng and Masthoff, Judith and Lim, Sue and Granmo, Ole-Christoffer and Gow, Andrew J. and Roy, Deb</x:v>
      </x:c>
      <x:c r="D10" s="20" t="str">
        <x:v>2022</x:v>
      </x:c>
      <x:c r="E10" s="20" t="str">
        <x:v>Medical Text Simplification Using Reinforcement Learning (TESLEA): Deep Learning-Based Text Simplification Approach</x:v>
      </x:c>
      <x:c r="F10" s="20" t="str">
        <x:v>JMIR Medical Informatics</x:v>
      </x:c>
      <x:c r="G10" s="20" t="str">
        <x:v>10.2196/38095</x:v>
      </x:c>
      <x:c r="H10" s="20" t="str">
        <x:v>https://medinform.jmir.org/2022/11/e38095/</x:v>
      </x:c>
      <x:c r="I10" s="20" t="str"/>
      <x:c r="J10" s="20" t="str">
        <x:v>36399375</x:v>
      </x:c>
      <x:c r="K10" s="20" t="str"/>
      <x:c r="L10" s="20" t="str">
        <x:v>01_Core_Clinical_TS</x:v>
      </x:c>
      <x:c r="M10" s="20" t="str">
        <x:v>01_Core_Clinical_TS</x:v>
      </x:c>
      <x:c r="N10" s="20" t="str">
        <x:v>core;medical-text-simplification;readability;reinforcement-learning</x:v>
      </x:c>
      <x:c r="O10" s="20" t="str">
        <x:v>simplification</x:v>
      </x:c>
      <x:c r="P10" s="20" t="str">
        <x:v>en</x:v>
      </x:c>
      <x:c r="Q10" s="20" t="str">
        <x:v>metric</x:v>
      </x:c>
      <x:c r="R10" s="20" t="str">
        <x:v>not_applicable</x:v>
      </x:c>
      <x:c r="S10" s="20" t="str">
        <x:v>core</x:v>
      </x:c>
      <x:c r="T10" s="20" t="str">
        <x:v>doi_present_needs_crossref_check</x:v>
      </x:c>
      <x:c r="U10" s="20" t="str">
        <x:v>manual_seed</x:v>
      </x:c>
      <x:c r="V10" s="20" t="str"/>
    </x:row>
    <x:row r="11">
      <x:c r="A11" s="20" t="str">
        <x:v>moramarco2022_more_patient_friendly</x:v>
      </x:c>
      <x:c r="B11" s="20" t="str">
        <x:v>inproceedings</x:v>
      </x:c>
      <x:c r="C11" s="20" t="str">
        <x:v>Moramarco, Francesco and Papadopoulos Korfiatis, Alex and Perera, Shivali and Juric, Damir and Flann, Jacqueline and Reiter, Ehud and Belz, Anya and Portet, François and Hunter, James</x:v>
      </x:c>
      <x:c r="D11" s="20" t="str">
        <x:v>2022</x:v>
      </x:c>
      <x:c r="E11" s="20" t="str">
        <x:v>Towards More Patient Friendly Clinical Notes through Language Models and Ontologies</x:v>
      </x:c>
      <x:c r="F11" s="20" t="str">
        <x:v>AMIA Annual Symposium Proceedings</x:v>
      </x:c>
      <x:c r="G11" s="20" t="str"/>
      <x:c r="H11" s="20" t="str">
        <x:v>https://pmc.ncbi.nlm.nih.gov/articles/PMC8861686/</x:v>
      </x:c>
      <x:c r="I11" s="20" t="str"/>
      <x:c r="J11" s="20" t="str">
        <x:v>35308976</x:v>
      </x:c>
      <x:c r="K11" s="20" t="str"/>
      <x:c r="L11" s="20" t="str">
        <x:v>01_Core_Clinical_TS</x:v>
      </x:c>
      <x:c r="M11" s="20" t="str">
        <x:v>01_Core_Clinical_TS</x:v>
      </x:c>
      <x:c r="N11" s="20" t="str">
        <x:v>clinical-notes;core;ontology;readability</x:v>
      </x:c>
      <x:c r="O11" s="20" t="str">
        <x:v>simplification</x:v>
      </x:c>
      <x:c r="P11" s="20" t="str">
        <x:v>en</x:v>
      </x:c>
      <x:c r="Q11" s="20" t="str">
        <x:v>ontology</x:v>
      </x:c>
      <x:c r="R11" s="20" t="str">
        <x:v>not_applicable</x:v>
      </x:c>
      <x:c r="S11" s="20" t="str">
        <x:v>core</x:v>
      </x:c>
      <x:c r="T11" s="20" t="str">
        <x:v>pmid_stable_no_doi</x:v>
      </x:c>
      <x:c r="U11" s="20" t="str">
        <x:v>manual_seed</x:v>
      </x:c>
      <x:c r="V11" s="20" t="str"/>
    </x:row>
    <x:row r="12">
      <x:c r="A12" s="20" t="str">
        <x:v>trienes2022_patient_friendly_clinical</x:v>
      </x:c>
      <x:c r="B12" s="20" t="str">
        <x:v>inproceedings</x:v>
      </x:c>
      <x:c r="C12" s="20" t="str">
        <x:v>Trienes, Jan and Schlötterer, Jörg and Schildhaus, Hans-Ulrich and Seifert, Christin</x:v>
      </x:c>
      <x:c r="D12" s="20" t="str">
        <x:v>2022</x:v>
      </x:c>
      <x:c r="E12" s="20" t="str">
        <x:v>Patient-Friendly Clinical Notes: Towards a New Text Simplification Dataset</x:v>
      </x:c>
      <x:c r="F12" s="20" t="str">
        <x:v>Proceedings of the Workshop on Text Simplification, Accessibility, and Readability</x:v>
      </x:c>
      <x:c r="G12" s="20" t="str">
        <x:v>10.18653/v1/2022.tsar-1.3</x:v>
      </x:c>
      <x:c r="H12" s="20" t="str">
        <x:v>https://aclanthology.org/2022.tsar-1.3/</x:v>
      </x:c>
      <x:c r="I12" s="20" t="str"/>
      <x:c r="J12" s="20" t="str"/>
      <x:c r="K12" s="20" t="str">
        <x:v>2022.tsar-1.3</x:v>
      </x:c>
      <x:c r="L12" s="20" t="str">
        <x:v>01_Core_Clinical_TS</x:v>
      </x:c>
      <x:c r="M12" s="20" t="str">
        <x:v>01_Core_Clinical_TS</x:v>
      </x:c>
      <x:c r="N12" s="20" t="str">
        <x:v>clinical-notes;core;dataset;german;readability</x:v>
      </x:c>
      <x:c r="O12" s="20" t="str">
        <x:v>simplification</x:v>
      </x:c>
      <x:c r="P12" s="20" t="str">
        <x:v>de</x:v>
      </x:c>
      <x:c r="Q12" s="20" t="str">
        <x:v>human_eval</x:v>
      </x:c>
      <x:c r="R12" s="20" t="str">
        <x:v>transferable</x:v>
      </x:c>
      <x:c r="S12" s="20" t="str">
        <x:v>core</x:v>
      </x:c>
      <x:c r="T12" s="20" t="str">
        <x:v>doi_structurally_verified_from_source</x:v>
      </x:c>
      <x:c r="U12" s="20" t="str">
        <x:v>manual_seed</x:v>
      </x:c>
      <x:c r="V12" s="20" t="str"/>
    </x:row>
    <x:row r="13">
      <x:c r="A13" s="20" t="str">
        <x:v>rahman2024_health_text_simplification</x:v>
      </x:c>
      <x:c r="B13" s="20" t="str">
        <x:v>article</x:v>
      </x:c>
      <x:c r="C13" s="20" t="str">
        <x:v>Rahman, Md Mushfiqur and Irbaz, Mohammad Sabik and North, Kai and Williams, Michelle S. and Zampieri, Marcos and Lybarger, Kevin</x:v>
      </x:c>
      <x:c r="D13" s="20" t="str">
        <x:v>2024</x:v>
      </x:c>
      <x:c r="E13" s="20" t="str">
        <x:v>Health Text Simplification: An Annotated Corpus for Digestive Cancer Education and Novel Strategies for Reinforcement Learning</x:v>
      </x:c>
      <x:c r="F13" s="20" t="str">
        <x:v>Journal of Biomedical Informatics</x:v>
      </x:c>
      <x:c r="G13" s="20" t="str">
        <x:v>10.1016/j.jbi.2024.104727</x:v>
      </x:c>
      <x:c r="H13" s="20" t="str">
        <x:v>https://dl.acm.org/doi/10.1016/j.jbi.2024.104727</x:v>
      </x:c>
      <x:c r="I13" s="20" t="str">
        <x:v>2401.15043</x:v>
      </x:c>
      <x:c r="J13" s="20" t="str">
        <x:v>39293643</x:v>
      </x:c>
      <x:c r="K13" s="20" t="str"/>
      <x:c r="L13" s="20" t="str">
        <x:v>01_Core_Clinical_TS</x:v>
      </x:c>
      <x:c r="M13" s="20" t="str">
        <x:v>01_Core_Clinical_TS</x:v>
      </x:c>
      <x:c r="N13" s="20" t="str">
        <x:v>cancer;core;dataset;health-literacy;reinforcement-learning</x:v>
      </x:c>
      <x:c r="O13" s="20" t="str">
        <x:v>simplification</x:v>
      </x:c>
      <x:c r="P13" s="20" t="str">
        <x:v>en</x:v>
      </x:c>
      <x:c r="Q13" s="20" t="str">
        <x:v>human_eval</x:v>
      </x:c>
      <x:c r="R13" s="20" t="str">
        <x:v>not_applicable</x:v>
      </x:c>
      <x:c r="S13" s="20" t="str">
        <x:v>core</x:v>
      </x:c>
      <x:c r="T13" s="20" t="str">
        <x:v>doi_structurally_verified_from_source</x:v>
      </x:c>
      <x:c r="U13" s="20" t="str">
        <x:v>manual_seed</x:v>
      </x:c>
      <x:c r="V13" s="20" t="str"/>
    </x:row>
    <x:row r="14">
      <x:c r="A14" s="20" t="str">
        <x:v>pavithra2025_bridging_health_literacy</x:v>
      </x:c>
      <x:c r="B14" s="20" t="str">
        <x:v>inproceedings</x:v>
      </x:c>
      <x:c r="C14" s="20" t="str">
        <x:v>Pavithra, R. S.</x:v>
      </x:c>
      <x:c r="D14" s="20" t="str">
        <x:v>2025</x:v>
      </x:c>
      <x:c r="E14" s="20" t="str">
        <x:v>Bridging Health Literacy Gaps in Indian Languages: Multilingual LLMs for Clinical Text Simplification</x:v>
      </x:c>
      <x:c r="F14" s="20" t="str">
        <x:v>Proceedings of the Workshop on Scientific Document Understanding for LLMs</x:v>
      </x:c>
      <x:c r="G14" s="20" t="str">
        <x:v>10.18653/v1/2025.sciprodllm-1.1</x:v>
      </x:c>
      <x:c r="H14" s="20" t="str">
        <x:v>https://aclanthology.org/2025.sciprodllm-1.1/</x:v>
      </x:c>
      <x:c r="I14" s="20" t="str"/>
      <x:c r="J14" s="20" t="str"/>
      <x:c r="K14" s="20" t="str">
        <x:v>2025.sciprodllm-1.1</x:v>
      </x:c>
      <x:c r="L14" s="20" t="str">
        <x:v>01_Core_Clinical_TS</x:v>
      </x:c>
      <x:c r="M14" s="20" t="str">
        <x:v>01_Core_Clinical_TS</x:v>
      </x:c>
      <x:c r="N14" s="20" t="str">
        <x:v>clinical-text-simplification;core;llm;low-resource;multilingual</x:v>
      </x:c>
      <x:c r="O14" s="20" t="str">
        <x:v>simplification</x:v>
      </x:c>
      <x:c r="P14" s="20" t="str">
        <x:v>en;hi;ta;te</x:v>
      </x:c>
      <x:c r="Q14" s="20" t="str">
        <x:v>none</x:v>
      </x:c>
      <x:c r="R14" s="20" t="str">
        <x:v>transferable</x:v>
      </x:c>
      <x:c r="S14" s="20" t="str">
        <x:v>core</x:v>
      </x:c>
      <x:c r="T14" s="20" t="str">
        <x:v>doi_structurally_verified_from_source</x:v>
      </x:c>
      <x:c r="U14" s="20" t="str">
        <x:v>manual_seed</x:v>
      </x:c>
      <x:c r="V14" s="20" t="str"/>
    </x:row>
    <x:row r="15">
      <x:c r="A15" s="20" t="str">
        <x:v>tran2025_medreadctrl_personalizing_medical</x:v>
      </x:c>
      <x:c r="B15" s="20" t="str">
        <x:v>misc</x:v>
      </x:c>
      <x:c r="C15" s="20" t="str">
        <x:v>Tran, Hieu and Yao, Zonghai and Kwon, Sunjae and Kantu, Nandyala Siddharth and Duan, Zhangqi and Yu, Hong</x:v>
      </x:c>
      <x:c r="D15" s="20" t="str">
        <x:v>2025</x:v>
      </x:c>
      <x:c r="E15" s="20" t="str">
        <x:v>MedReadCtrl: Personalizing Medical Text Generation with Readability-Controlled Instruction Learning</x:v>
      </x:c>
      <x:c r="F15" s="20" t="str">
        <x:v>arXiv preprint</x:v>
      </x:c>
      <x:c r="G15" s="20" t="str"/>
      <x:c r="H15" s="20" t="str">
        <x:v>https://arxiv.org/abs/2507.07419</x:v>
      </x:c>
      <x:c r="I15" s="20" t="str">
        <x:v>2507.07419</x:v>
      </x:c>
      <x:c r="J15" s="20" t="str"/>
      <x:c r="K15" s="20" t="str"/>
      <x:c r="L15" s="20" t="str">
        <x:v>01_Core_Clinical_TS</x:v>
      </x:c>
      <x:c r="M15" s="20" t="str">
        <x:v>01_Core_Clinical_TS</x:v>
      </x:c>
      <x:c r="N15" s="20" t="str">
        <x:v>core;instruction-tuning;llm;medical-generation;readability</x:v>
      </x:c>
      <x:c r="O15" s="20" t="str">
        <x:v>readability-control;generation</x:v>
      </x:c>
      <x:c r="P15" s="20" t="str">
        <x:v>en</x:v>
      </x:c>
      <x:c r="Q15" s="20" t="str">
        <x:v>none</x:v>
      </x:c>
      <x:c r="R15" s="20" t="str">
        <x:v>not_applicable</x:v>
      </x:c>
      <x:c r="S15" s="20" t="str">
        <x:v>core</x:v>
      </x:c>
      <x:c r="T15" s="20" t="str">
        <x:v>arxiv_stable_no_doi</x:v>
      </x:c>
      <x:c r="U15" s="20" t="str">
        <x:v>manual_seed</x:v>
      </x:c>
      <x:c r="V15" s="20" t="str"/>
    </x:row>
    <x:row r="16">
      <x:c r="A16" s="20" t="str">
        <x:v>qenam2017_text_simplification_consumer</x:v>
      </x:c>
      <x:c r="B16" s="20" t="str">
        <x:v>article</x:v>
      </x:c>
      <x:c r="C16" s="20" t="str">
        <x:v>Qenam, Basmah and Kim, Tae Youn and Carroll, Michael J. and Hogarth, Michael</x:v>
      </x:c>
      <x:c r="D16" s="20" t="str">
        <x:v>2017</x:v>
      </x:c>
      <x:c r="E16" s="20" t="str">
        <x:v>Text Simplification Using Consumer Health Vocabulary to Generate Patient-Centered Radiology Reporting: Translation and Evaluation</x:v>
      </x:c>
      <x:c r="F16" s="20" t="str">
        <x:v>Journal of Medical Internet Research</x:v>
      </x:c>
      <x:c r="G16" s="20" t="str">
        <x:v>10.2196/jmir.8531</x:v>
      </x:c>
      <x:c r="H16" s="20" t="str">
        <x:v>https://www.jmir.org/2017/12/e417/</x:v>
      </x:c>
      <x:c r="I16" s="20" t="str"/>
      <x:c r="J16" s="20" t="str"/>
      <x:c r="K16" s="20" t="str"/>
      <x:c r="L16" s="20" t="str">
        <x:v>01_Core_Clinical_TS</x:v>
      </x:c>
      <x:c r="M16" s="20" t="str">
        <x:v>01_Core_Clinical_TS</x:v>
      </x:c>
      <x:c r="N16" s="20" t="str">
        <x:v>consumer-health-vocabulary;core;radiology;readability</x:v>
      </x:c>
      <x:c r="O16" s="20" t="str">
        <x:v>simplification;translation</x:v>
      </x:c>
      <x:c r="P16" s="20" t="str">
        <x:v>en</x:v>
      </x:c>
      <x:c r="Q16" s="20" t="str">
        <x:v>ontology</x:v>
      </x:c>
      <x:c r="R16" s="20" t="str">
        <x:v>not_applicable</x:v>
      </x:c>
      <x:c r="S16" s="20" t="str">
        <x:v>core</x:v>
      </x:c>
      <x:c r="T16" s="20" t="str">
        <x:v>doi_present_needs_crossref_check</x:v>
      </x:c>
      <x:c r="U16" s="20" t="str">
        <x:v>manual_seed</x:v>
      </x:c>
      <x:c r="V16" s="20" t="str"/>
    </x:row>
    <x:row r="17">
      <x:c r="A17" s="20" t="str">
        <x:v>makhmutova2024_medical_text_simplification</x:v>
      </x:c>
      <x:c r="B17" s="20" t="str">
        <x:v>misc</x:v>
      </x:c>
      <x:c r="C17" s="20" t="str">
        <x:v>Makhmutova, Liliya and Dras, Mark and Dale, Robert and Paris, Cecile</x:v>
      </x:c>
      <x:c r="D17" s="20" t="str">
        <x:v>2024</x:v>
      </x:c>
      <x:c r="E17" s="20" t="str">
        <x:v>Automated Medical Text Simplification for Enhanced Patient Understanding</x:v>
      </x:c>
      <x:c r="F17" s="20" t="str">
        <x:v>arXiv preprint</x:v>
      </x:c>
      <x:c r="G17" s="20" t="str"/>
      <x:c r="H17" s="20" t="str">
        <x:v>https://arxiv.org/abs/2402.16038</x:v>
      </x:c>
      <x:c r="I17" s="20" t="str">
        <x:v>2402.16038</x:v>
      </x:c>
      <x:c r="J17" s="20" t="str"/>
      <x:c r="K17" s="20" t="str"/>
      <x:c r="L17" s="20" t="str">
        <x:v>01_Core_Clinical_TS</x:v>
      </x:c>
      <x:c r="M17" s="20" t="str">
        <x:v>01_Core_Clinical_TS</x:v>
      </x:c>
      <x:c r="N17" s="20" t="str">
        <x:v>core;llm;medical-text-simplification;multimodal</x:v>
      </x:c>
      <x:c r="O17" s="20" t="str">
        <x:v>simplification</x:v>
      </x:c>
      <x:c r="P17" s="20" t="str">
        <x:v>en</x:v>
      </x:c>
      <x:c r="Q17" s="20" t="str">
        <x:v>human_eval</x:v>
      </x:c>
      <x:c r="R17" s="20" t="str">
        <x:v>not_applicable</x:v>
      </x:c>
      <x:c r="S17" s="20" t="str">
        <x:v>candidate</x:v>
      </x:c>
      <x:c r="T17" s="20" t="str">
        <x:v>arxiv_stable_no_doi</x:v>
      </x:c>
      <x:c r="U17" s="20" t="str">
        <x:v>manual_seed</x:v>
      </x:c>
      <x:c r="V17" s="20" t="str"/>
    </x:row>
    <x:row r="18">
      <x:c r="A18" s="20" t="str">
        <x:v>vora2025_s_3_pipeline</x:v>
      </x:c>
      <x:c r="B18" s="20" t="str">
        <x:v>inproceedings</x:v>
      </x:c>
      <x:c r="C18" s="20" t="str">
        <x:v>Vora, Ansh and Chaudhari, Tanish and Hotha, Sanjeev and Sonawane, Sheetal</x:v>
      </x:c>
      <x:c r="D18" s="20" t="str">
        <x:v>2025</x:v>
      </x:c>
      <x:c r="E18" s="20" t="str">
        <x:v>S-3 Pipeline for Biomedical Text Simplification</x:v>
      </x:c>
      <x:c r="F18" s="20" t="str">
        <x:v>CLEF 2025 Working Notes</x:v>
      </x:c>
      <x:c r="G18" s="20" t="str"/>
      <x:c r="H18" s="20" t="str">
        <x:v>https://ceur-ws.org/Vol-4038/paper_361.pdf</x:v>
      </x:c>
      <x:c r="I18" s="20" t="str"/>
      <x:c r="J18" s="20" t="str"/>
      <x:c r="K18" s="20" t="str"/>
      <x:c r="L18" s="20" t="str">
        <x:v>01_Core_Clinical_TS</x:v>
      </x:c>
      <x:c r="M18" s="20" t="str">
        <x:v>01_Core_Clinical_TS</x:v>
      </x:c>
      <x:c r="N18" s="20" t="str">
        <x:v>biomedical;core;pipeline;simpletext</x:v>
      </x:c>
      <x:c r="O18" s="20" t="str">
        <x:v>simplification</x:v>
      </x:c>
      <x:c r="P18" s="20" t="str">
        <x:v>en</x:v>
      </x:c>
      <x:c r="Q18" s="20" t="str">
        <x:v>none</x:v>
      </x:c>
      <x:c r="R18" s="20" t="str">
        <x:v>not_applicable</x:v>
      </x:c>
      <x:c r="S18" s="20" t="str">
        <x:v>candidate</x:v>
      </x:c>
      <x:c r="T18" s="20" t="str">
        <x:v>url_stable_no_doi</x:v>
      </x:c>
      <x:c r="U18" s="20" t="str">
        <x:v>manual_seed</x:v>
      </x:c>
      <x:c r="V18" s="20" t="str"/>
    </x:row>
    <x:row r="19">
      <x:c r="A19" s="20" t="str">
        <x:v>bakker2025_overview_clef_2025</x:v>
      </x:c>
      <x:c r="B19" s="20" t="str">
        <x:v>inproceedings</x:v>
      </x:c>
      <x:c r="C19" s="20" t="str">
        <x:v>Bakker, Jan and Kamps, Jaap and others</x:v>
      </x:c>
      <x:c r="D19" s="20" t="str">
        <x:v>2025</x:v>
      </x:c>
      <x:c r="E19" s="20" t="str">
        <x:v>Overview of the CLEF 2025 SimpleText Task 1: Scientific and Biomedical Text Simplification</x:v>
      </x:c>
      <x:c r="F19" s="20" t="str">
        <x:v>CLEF 2025 Working Notes</x:v>
      </x:c>
      <x:c r="G19" s="20" t="str"/>
      <x:c r="H19" s="20" t="str">
        <x:v>https://ceur-ws.org/Vol-4038/paper_344.pdf</x:v>
      </x:c>
      <x:c r="I19" s="20" t="str"/>
      <x:c r="J19" s="20" t="str"/>
      <x:c r="K19" s="20" t="str"/>
      <x:c r="L19" s="20" t="str">
        <x:v>01_Core_Clinical_TS</x:v>
      </x:c>
      <x:c r="M19" s="20" t="str">
        <x:v>01_Core_Clinical_TS</x:v>
      </x:c>
      <x:c r="N19" s="20" t="str">
        <x:v>benchmark;biomedical;core;simpletext</x:v>
      </x:c>
      <x:c r="O19" s="20" t="str">
        <x:v>simplification;benchmark</x:v>
      </x:c>
      <x:c r="P19" s="20" t="str">
        <x:v>en</x:v>
      </x:c>
      <x:c r="Q19" s="20" t="str">
        <x:v>human_eval</x:v>
      </x:c>
      <x:c r="R19" s="20" t="str">
        <x:v>not_applicable</x:v>
      </x:c>
      <x:c r="S19" s="20" t="str">
        <x:v>candidate</x:v>
      </x:c>
      <x:c r="T19" s="20" t="str">
        <x:v>url_stable_no_doi</x:v>
      </x:c>
      <x:c r="U19" s="20" t="str">
        <x:v>manual_seed</x:v>
      </x:c>
      <x:c r="V19" s="20" t="str"/>
    </x:row>
    <x:row r="20">
      <x:c r="A20" s="20" t="str">
        <x:v>grabar2018_clear_medical_french</x:v>
      </x:c>
      <x:c r="B20" s="20" t="str">
        <x:v>inproceedings</x:v>
      </x:c>
      <x:c r="C20" s="20" t="str">
        <x:v>Grabar, Natalia and Cardon, Rémi</x:v>
      </x:c>
      <x:c r="D20" s="20" t="str">
        <x:v>2018</x:v>
      </x:c>
      <x:c r="E20" s="20" t="str">
        <x:v>CLEAR: A Corpus for Medical French Text Simplification</x:v>
      </x:c>
      <x:c r="F20" s="20" t="str">
        <x:v>Proceedings of the First Workshop on Automatic Text Adaptation</x:v>
      </x:c>
      <x:c r="G20" s="20" t="str"/>
      <x:c r="H20" s="20" t="str">
        <x:v>https://aclanthology.org/W18-7001/</x:v>
      </x:c>
      <x:c r="I20" s="20" t="str"/>
      <x:c r="J20" s="20" t="str"/>
      <x:c r="K20" s="20" t="str">
        <x:v>W18-7001</x:v>
      </x:c>
      <x:c r="L20" s="20" t="str">
        <x:v>01_Core_Clinical_TS</x:v>
      </x:c>
      <x:c r="M20" s="20" t="str">
        <x:v>01_Core_Clinical_TS</x:v>
      </x:c>
      <x:c r="N20" s="20" t="str">
        <x:v>core;dataset;french;medical-text-simplification</x:v>
      </x:c>
      <x:c r="O20" s="20" t="str">
        <x:v>simplification</x:v>
      </x:c>
      <x:c r="P20" s="20" t="str">
        <x:v>fr</x:v>
      </x:c>
      <x:c r="Q20" s="20" t="str">
        <x:v>none</x:v>
      </x:c>
      <x:c r="R20" s="20" t="str">
        <x:v>transferable</x:v>
      </x:c>
      <x:c r="S20" s="20" t="str">
        <x:v>candidate</x:v>
      </x:c>
      <x:c r="T20" s="20" t="str">
        <x:v>acl_id_stable_no_doi_field</x:v>
      </x:c>
      <x:c r="U20" s="20" t="str">
        <x:v>manual_seed</x:v>
      </x:c>
      <x:c r="V20" s="20" t="str"/>
    </x:row>
    <x:row r="21">
      <x:c r="A21" s="20" t="str">
        <x:v>cardon2020_french_biomedical_text</x:v>
      </x:c>
      <x:c r="B21" s="20" t="str">
        <x:v>article</x:v>
      </x:c>
      <x:c r="C21" s="20" t="str">
        <x:v>Cardon, Rémi and Grabar, Natalia</x:v>
      </x:c>
      <x:c r="D21" s="20" t="str">
        <x:v>2020</x:v>
      </x:c>
      <x:c r="E21" s="20" t="str">
        <x:v>French Biomedical Text Simplification: When Small and Precise Helps</x:v>
      </x:c>
      <x:c r="F21" s="20" t="str">
        <x:v>Journal of Biomedical Semantics</x:v>
      </x:c>
      <x:c r="G21" s="20" t="str"/>
      <x:c r="H21" s="20" t="str">
        <x:v>https://jbiomedsem.biomedcentral.com/</x:v>
      </x:c>
      <x:c r="I21" s="20" t="str"/>
      <x:c r="J21" s="20" t="str"/>
      <x:c r="K21" s="20" t="str"/>
      <x:c r="L21" s="20" t="str">
        <x:v>01_Core_Clinical_TS</x:v>
      </x:c>
      <x:c r="M21" s="20" t="str">
        <x:v>01_Core_Clinical_TS</x:v>
      </x:c>
      <x:c r="N21" s="20" t="str">
        <x:v>core;french;medical-text-simplification;readability</x:v>
      </x:c>
      <x:c r="O21" s="20" t="str">
        <x:v>simplification</x:v>
      </x:c>
      <x:c r="P21" s="20" t="str">
        <x:v>fr</x:v>
      </x:c>
      <x:c r="Q21" s="20" t="str">
        <x:v>none</x:v>
      </x:c>
      <x:c r="R21" s="20" t="str">
        <x:v>transferable</x:v>
      </x:c>
      <x:c r="S21" s="20" t="str">
        <x:v>candidate</x:v>
      </x:c>
      <x:c r="T21" s="20" t="str">
        <x:v>url_stable_no_doi</x:v>
      </x:c>
      <x:c r="U21" s="20" t="str">
        <x:v>manual_seed</x:v>
      </x:c>
      <x:c r="V21" s="20" t="str"/>
    </x:row>
    <x:row r="22">
      <x:c r="A22" s="20" t="str">
        <x:v>aziz2025_banglahealth_bengali_paraphrase</x:v>
      </x:c>
      <x:c r="B22" s="20" t="str">
        <x:v>article</x:v>
      </x:c>
      <x:c r="C22" s="20" t="str">
        <x:v>Aziz, Faisal Ibn and Islam, Muhammad Nazrul</x:v>
      </x:c>
      <x:c r="D22" s="20" t="str">
        <x:v>2025</x:v>
      </x:c>
      <x:c r="E22" s="20" t="str">
        <x:v>BanglaHealth: A Bengali Paraphrase Dataset on Health Domain</x:v>
      </x:c>
      <x:c r="F22" s="20" t="str">
        <x:v>Data in Brief</x:v>
      </x:c>
      <x:c r="G22" s="20" t="str">
        <x:v>10.1016/j.dib.2025.111699</x:v>
      </x:c>
      <x:c r="H22" s="20" t="str">
        <x:v>https://www.sciencedirect.com/science/article/pii/S2352340925004299</x:v>
      </x:c>
      <x:c r="I22" s="20" t="str"/>
      <x:c r="J22" s="20" t="str"/>
      <x:c r="K22" s="20" t="str"/>
      <x:c r="L22" s="20" t="str">
        <x:v>03_Adjacent_Bangla_NLP</x:v>
      </x:c>
      <x:c r="M22" s="20" t="str">
        <x:v>03_Adjacent_Bangla_NLP</x:v>
      </x:c>
      <x:c r="N22" s="20" t="str">
        <x:v>bangla;dataset;health;paraphrase;synthetic</x:v>
      </x:c>
      <x:c r="O22" s="20" t="str">
        <x:v>paraphrase</x:v>
      </x:c>
      <x:c r="P22" s="20" t="str">
        <x:v>bn</x:v>
      </x:c>
      <x:c r="Q22" s="20" t="str">
        <x:v>none</x:v>
      </x:c>
      <x:c r="R22" s="20" t="str">
        <x:v>direct</x:v>
      </x:c>
      <x:c r="S22" s="20" t="str">
        <x:v>core</x:v>
      </x:c>
      <x:c r="T22" s="20" t="str">
        <x:v>doi_structurally_verified_from_source</x:v>
      </x:c>
      <x:c r="U22" s="20" t="str">
        <x:v>manual_seed</x:v>
      </x:c>
      <x:c r="V22" s="20" t="str"/>
    </x:row>
    <x:row r="23">
      <x:c r="A23" s="20" t="str">
        <x:v>khan2023_banglachq_summ_abstractive</x:v>
      </x:c>
      <x:c r="B23" s="20" t="str">
        <x:v>inproceedings</x:v>
      </x:c>
      <x:c r="C23" s="20" t="str">
        <x:v>Khan, Alvi and Kamal, Fida and Chowdhury, Mohammad Abrar and Ahmed, Tasnim and Laskar, Md Tahmid Rahman and Ahmed, Sabbir</x:v>
      </x:c>
      <x:c r="D23" s="20" t="str">
        <x:v>2023</x:v>
      </x:c>
      <x:c r="E23" s="20" t="str">
        <x:v>BanglaCHQ-Summ: An Abstractive Summarization Dataset for Medical Queries in Bangla Conversational Speech</x:v>
      </x:c>
      <x:c r="F23" s="20" t="str">
        <x:v>Proceedings of the First Workshop on Bangla Language Processing</x:v>
      </x:c>
      <x:c r="G23" s="20" t="str">
        <x:v>10.18653/v1/2023.banglalp-1.10</x:v>
      </x:c>
      <x:c r="H23" s="20" t="str">
        <x:v>https://aclanthology.org/2023.banglalp-1.10/</x:v>
      </x:c>
      <x:c r="I23" s="20" t="str"/>
      <x:c r="J23" s="20" t="str"/>
      <x:c r="K23" s="20" t="str">
        <x:v>2023.banglalp-1.10</x:v>
      </x:c>
      <x:c r="L23" s="20" t="str">
        <x:v>03_Adjacent_Bangla_NLP</x:v>
      </x:c>
      <x:c r="M23" s="20" t="str">
        <x:v>03_Adjacent_Bangla_NLP</x:v>
      </x:c>
      <x:c r="N23" s="20" t="str">
        <x:v>bangla;dataset;medical-queries;summarization</x:v>
      </x:c>
      <x:c r="O23" s="20" t="str">
        <x:v>summarization</x:v>
      </x:c>
      <x:c r="P23" s="20" t="str">
        <x:v>bn</x:v>
      </x:c>
      <x:c r="Q23" s="20" t="str">
        <x:v>human_eval</x:v>
      </x:c>
      <x:c r="R23" s="20" t="str">
        <x:v>direct</x:v>
      </x:c>
      <x:c r="S23" s="20" t="str">
        <x:v>core</x:v>
      </x:c>
      <x:c r="T23" s="20" t="str">
        <x:v>doi_structurally_verified_from_source</x:v>
      </x:c>
      <x:c r="U23" s="20" t="str">
        <x:v>manual_seed</x:v>
      </x:c>
      <x:c r="V23" s="20" t="str"/>
    </x:row>
    <x:row r="24">
      <x:c r="A24" s="20" t="str">
        <x:v>khan2023_nervous_about_my</x:v>
      </x:c>
      <x:c r="B24" s="20" t="str">
        <x:v>inproceedings</x:v>
      </x:c>
      <x:c r="C24" s="20" t="str">
        <x:v>Khan, Alvi and Kamal, Fida and Chowdhury, Mohammad Abrar and Ahmed, Tasnim and Laskar, Md Tahmid Rahman and Ahmed, Sabbir</x:v>
      </x:c>
      <x:c r="D24" s="20" t="str">
        <x:v>2023</x:v>
      </x:c>
      <x:c r="E24" s="20" t="str">
        <x:v>NERvous About My Health: Constructing a Bengali Medical Named Entity Recognition Dataset</x:v>
      </x:c>
      <x:c r="F24" s="20" t="str">
        <x:v>Findings of the Association for Computational Linguistics: EMNLP 2023</x:v>
      </x:c>
      <x:c r="G24" s="20" t="str">
        <x:v>10.18653/v1/2023.findings-emnlp.383</x:v>
      </x:c>
      <x:c r="H24" s="20" t="str">
        <x:v>https://aclanthology.org/2023.findings-emnlp.383/</x:v>
      </x:c>
      <x:c r="I24" s="20" t="str"/>
      <x:c r="J24" s="20" t="str"/>
      <x:c r="K24" s="20" t="str">
        <x:v>2023.findings-emnlp.383</x:v>
      </x:c>
      <x:c r="L24" s="20" t="str">
        <x:v>03_Adjacent_Bangla_NLP</x:v>
      </x:c>
      <x:c r="M24" s="20" t="str">
        <x:v>03_Adjacent_Bangla_NLP</x:v>
      </x:c>
      <x:c r="N24" s="20" t="str">
        <x:v>bangla;dataset;expert-validated;health;ner</x:v>
      </x:c>
      <x:c r="O24" s="20" t="str">
        <x:v>NER</x:v>
      </x:c>
      <x:c r="P24" s="20" t="str">
        <x:v>bn</x:v>
      </x:c>
      <x:c r="Q24" s="20" t="str">
        <x:v>entity_preservation</x:v>
      </x:c>
      <x:c r="R24" s="20" t="str">
        <x:v>direct</x:v>
      </x:c>
      <x:c r="S24" s="20" t="str">
        <x:v>core</x:v>
      </x:c>
      <x:c r="T24" s="20" t="str">
        <x:v>doi_structurally_verified_from_source</x:v>
      </x:c>
      <x:c r="U24" s="20" t="str">
        <x:v>manual_seed</x:v>
      </x:c>
      <x:c r="V24" s="20" t="str"/>
    </x:row>
    <x:row r="25">
      <x:c r="A25" s="20" t="str">
        <x:v>islam2026_bangla_meder_multi</x:v>
      </x:c>
      <x:c r="B25" s="20" t="str">
        <x:v>article</x:v>
      </x:c>
      <x:c r="C25" s="20" t="str">
        <x:v>Islam, Md Ashraful and others</x:v>
      </x:c>
      <x:c r="D25" s="20" t="str">
        <x:v>2026</x:v>
      </x:c>
      <x:c r="E25" s="20" t="str">
        <x:v>Bangla-MedER: Multi-BERT Ensemble Approach for the Recognition of Bangla Medical Entities</x:v>
      </x:c>
      <x:c r="F25" s="20" t="str">
        <x:v>PLOS ONE</x:v>
      </x:c>
      <x:c r="G25" s="20" t="str">
        <x:v>10.1371/journal.pone.0342558</x:v>
      </x:c>
      <x:c r="H25" s="20" t="str">
        <x:v>https://journals.plos.org/plosone/article?id=10.1371/journal.pone.0342558</x:v>
      </x:c>
      <x:c r="I25" s="20" t="str"/>
      <x:c r="J25" s="20" t="str"/>
      <x:c r="K25" s="20" t="str"/>
      <x:c r="L25" s="20" t="str">
        <x:v>03_Adjacent_Bangla_NLP</x:v>
      </x:c>
      <x:c r="M25" s="20" t="str">
        <x:v>03_Adjacent_Bangla_NLP</x:v>
      </x:c>
      <x:c r="N25" s="20" t="str">
        <x:v>bangla;dataset;medical-entities;ner</x:v>
      </x:c>
      <x:c r="O25" s="20" t="str">
        <x:v>NER</x:v>
      </x:c>
      <x:c r="P25" s="20" t="str">
        <x:v>bn</x:v>
      </x:c>
      <x:c r="Q25" s="20" t="str">
        <x:v>entity_preservation</x:v>
      </x:c>
      <x:c r="R25" s="20" t="str">
        <x:v>direct</x:v>
      </x:c>
      <x:c r="S25" s="20" t="str">
        <x:v>core</x:v>
      </x:c>
      <x:c r="T25" s="20" t="str">
        <x:v>doi_present_needs_crossref_check</x:v>
      </x:c>
      <x:c r="U25" s="20" t="str">
        <x:v>manual_seed</x:v>
      </x:c>
      <x:c r="V25" s="20" t="str"/>
    </x:row>
    <x:row r="26">
      <x:c r="A26" s="20" t="str">
        <x:v>bhattacharjee2022_banglabert_language_pretraining</x:v>
      </x:c>
      <x:c r="B26" s="20" t="str">
        <x:v>inproceedings</x:v>
      </x:c>
      <x:c r="C26" s="20" t="str">
        <x:v>Bhattacharjee, Abhik and Hasan, Tahmid and Ahmad, Wasi Uddin and Samin, Kazi and Islam, Md Saiful and Iqbal, Anindya and Rahman, M. Sohel and Shahriyar, Rifat</x:v>
      </x:c>
      <x:c r="D26" s="20" t="str">
        <x:v>2022</x:v>
      </x:c>
      <x:c r="E26" s="20" t="str">
        <x:v>BanglaBERT: Language Model Pretraining and Benchmarks for Low-Resource Language Understanding Evaluation in Bangla</x:v>
      </x:c>
      <x:c r="F26" s="20" t="str">
        <x:v>Findings of the Association for Computational Linguistics: NAACL 2022</x:v>
      </x:c>
      <x:c r="G26" s="20" t="str">
        <x:v>10.18653/v1/2022.findings-naacl.98</x:v>
      </x:c>
      <x:c r="H26" s="20" t="str">
        <x:v>https://aclanthology.org/2022.findings-naacl.98/</x:v>
      </x:c>
      <x:c r="I26" s="20" t="str">
        <x:v>2101.00204</x:v>
      </x:c>
      <x:c r="J26" s="20" t="str"/>
      <x:c r="K26" s="20" t="str">
        <x:v>2022.findings-naacl.98</x:v>
      </x:c>
      <x:c r="L26" s="20" t="str">
        <x:v>03_Adjacent_Bangla_NLP</x:v>
      </x:c>
      <x:c r="M26" s="20" t="str">
        <x:v>03_Adjacent_Bangla_NLP</x:v>
      </x:c>
      <x:c r="N26" s="20" t="str">
        <x:v>bangla;benchmark;language-model;low-resource</x:v>
      </x:c>
      <x:c r="O26" s="20" t="str">
        <x:v>pretraining;benchmark</x:v>
      </x:c>
      <x:c r="P26" s="20" t="str">
        <x:v>bn</x:v>
      </x:c>
      <x:c r="Q26" s="20" t="str">
        <x:v>none</x:v>
      </x:c>
      <x:c r="R26" s="20" t="str">
        <x:v>direct</x:v>
      </x:c>
      <x:c r="S26" s="20" t="str">
        <x:v>supporting</x:v>
      </x:c>
      <x:c r="T26" s="20" t="str">
        <x:v>doi_structurally_verified_from_source</x:v>
      </x:c>
      <x:c r="U26" s="20" t="str">
        <x:v>manual_seed</x:v>
      </x:c>
      <x:c r="V26" s="20" t="str"/>
    </x:row>
    <x:row r="27">
      <x:c r="A27" s="20" t="str">
        <x:v>das2024_banglat5_banglabert0_pretrained</x:v>
      </x:c>
      <x:c r="B27" s="20" t="str">
        <x:v>inproceedings</x:v>
      </x:c>
      <x:c r="C27" s="20" t="str">
        <x:v>Das, Dipto and Bhattacharjee, Abhik and Shahriyar, Rifat</x:v>
      </x:c>
      <x:c r="D27" s="20" t="str">
        <x:v>2024</x:v>
      </x:c>
      <x:c r="E27" s="20" t="str">
        <x:v>BanglaT5 and BanglaBERT0: Large Pretrained Language Models for Bangla</x:v>
      </x:c>
      <x:c r="F27" s="20" t="str">
        <x:v>Proceedings of LREC-COLING 2024</x:v>
      </x:c>
      <x:c r="G27" s="20" t="str"/>
      <x:c r="H27" s="20" t="str">
        <x:v>https://aclanthology.org/2024.lrec-main/</x:v>
      </x:c>
      <x:c r="I27" s="20" t="str"/>
      <x:c r="J27" s="20" t="str"/>
      <x:c r="K27" s="20" t="str"/>
      <x:c r="L27" s="20" t="str">
        <x:v>03_Adjacent_Bangla_NLP</x:v>
      </x:c>
      <x:c r="M27" s="20" t="str">
        <x:v>03_Adjacent_Bangla_NLP</x:v>
      </x:c>
      <x:c r="N27" s="20" t="str">
        <x:v>bangla;language-model;low-resource;t5</x:v>
      </x:c>
      <x:c r="O27" s="20" t="str">
        <x:v>pretraining</x:v>
      </x:c>
      <x:c r="P27" s="20" t="str">
        <x:v>bn</x:v>
      </x:c>
      <x:c r="Q27" s="20" t="str">
        <x:v>none</x:v>
      </x:c>
      <x:c r="R27" s="20" t="str">
        <x:v>direct</x:v>
      </x:c>
      <x:c r="S27" s="20" t="str">
        <x:v>supporting</x:v>
      </x:c>
      <x:c r="T27" s="20" t="str">
        <x:v>url_stable_no_doi</x:v>
      </x:c>
      <x:c r="U27" s="20" t="str">
        <x:v>manual_seed</x:v>
      </x:c>
      <x:c r="V27" s="20" t="str"/>
    </x:row>
    <x:row r="28">
      <x:c r="A28" s="20" t="str">
        <x:v>mahtab2025_benchmark_context_driven</x:v>
      </x:c>
      <x:c r="B28" s="20" t="str">
        <x:v>inproceedings</x:v>
      </x:c>
      <x:c r="C28" s="20" t="str">
        <x:v>Mahtab, Md Mominul and Karim, Md Rezaul and Shahriyar, Rifat</x:v>
      </x:c>
      <x:c r="D28" s="20" t="str">
        <x:v>2025</x:v>
      </x:c>
      <x:c r="E28" s="20" t="str">
        <x:v>A Benchmark Dataset and Context-Driven Approach for Bangla Named Entity Recognition</x:v>
      </x:c>
      <x:c r="F28" s="20" t="str">
        <x:v>Findings of the Association for Computational Linguistics: NAACL 2025</x:v>
      </x:c>
      <x:c r="G28" s="20" t="str">
        <x:v>10.18653/v1/2025.findings-naacl.380</x:v>
      </x:c>
      <x:c r="H28" s="20" t="str">
        <x:v>https://aclanthology.org/2025.findings-naacl.380/</x:v>
      </x:c>
      <x:c r="I28" s="20" t="str"/>
      <x:c r="J28" s="20" t="str"/>
      <x:c r="K28" s="20" t="str">
        <x:v>2025.findings-naacl.380</x:v>
      </x:c>
      <x:c r="L28" s="20" t="str">
        <x:v>03_Adjacent_Bangla_NLP</x:v>
      </x:c>
      <x:c r="M28" s="20" t="str">
        <x:v>03_Adjacent_Bangla_NLP</x:v>
      </x:c>
      <x:c r="N28" s="20" t="str">
        <x:v>bangla;benchmark;dataset;ner</x:v>
      </x:c>
      <x:c r="O28" s="20" t="str">
        <x:v>NER</x:v>
      </x:c>
      <x:c r="P28" s="20" t="str">
        <x:v>bn</x:v>
      </x:c>
      <x:c r="Q28" s="20" t="str">
        <x:v>entity_preservation</x:v>
      </x:c>
      <x:c r="R28" s="20" t="str">
        <x:v>direct</x:v>
      </x:c>
      <x:c r="S28" s="20" t="str">
        <x:v>supporting</x:v>
      </x:c>
      <x:c r="T28" s="20" t="str">
        <x:v>doi_structurally_verified_from_source</x:v>
      </x:c>
      <x:c r="U28" s="20" t="str">
        <x:v>manual_seed</x:v>
      </x:c>
      <x:c r="V28" s="20" t="str"/>
    </x:row>
    <x:row r="29">
      <x:c r="A29" s="20" t="str">
        <x:v>ekbal2008_bengali_named_entity</x:v>
      </x:c>
      <x:c r="B29" s="20" t="str">
        <x:v>inproceedings</x:v>
      </x:c>
      <x:c r="C29" s="20" t="str">
        <x:v>Ekbal, Asif and Bandyopadhyay, Sivaji</x:v>
      </x:c>
      <x:c r="D29" s="20" t="str">
        <x:v>2008</x:v>
      </x:c>
      <x:c r="E29" s="20" t="str">
        <x:v>Bengali Named Entity Recognition Using Support Vector Machine</x:v>
      </x:c>
      <x:c r="F29" s="20" t="str">
        <x:v>Proceedings of the IJCNLP-08 Workshop on Named Entity Recognition for South and South East Asian Languages</x:v>
      </x:c>
      <x:c r="G29" s="20" t="str"/>
      <x:c r="H29" s="20" t="str">
        <x:v>https://aclanthology.org/I08-5008/</x:v>
      </x:c>
      <x:c r="I29" s="20" t="str"/>
      <x:c r="J29" s="20" t="str"/>
      <x:c r="K29" s="20" t="str">
        <x:v>I08-5008</x:v>
      </x:c>
      <x:c r="L29" s="20" t="str">
        <x:v>03_Adjacent_Bangla_NLP</x:v>
      </x:c>
      <x:c r="M29" s="20" t="str">
        <x:v>03_Adjacent_Bangla_NLP</x:v>
      </x:c>
      <x:c r="N29" s="20" t="str">
        <x:v>bangla;foundational;ner</x:v>
      </x:c>
      <x:c r="O29" s="20" t="str">
        <x:v>NER</x:v>
      </x:c>
      <x:c r="P29" s="20" t="str">
        <x:v>bn</x:v>
      </x:c>
      <x:c r="Q29" s="20" t="str">
        <x:v>entity_preservation</x:v>
      </x:c>
      <x:c r="R29" s="20" t="str">
        <x:v>direct</x:v>
      </x:c>
      <x:c r="S29" s="20" t="str">
        <x:v>background</x:v>
      </x:c>
      <x:c r="T29" s="20" t="str">
        <x:v>acl_id_stable_no_doi_field</x:v>
      </x:c>
      <x:c r="U29" s="20" t="str">
        <x:v>manual_seed</x:v>
      </x:c>
      <x:c r="V29" s="20" t="str"/>
    </x:row>
    <x:row r="30">
      <x:c r="A30" s="20" t="str">
        <x:v>hossain2017_bengali_question_answering</x:v>
      </x:c>
      <x:c r="B30" s="20" t="str">
        <x:v>misc</x:v>
      </x:c>
      <x:c r="C30" s="20" t="str">
        <x:v>Hossain, Muhammad S. and Hoque, Enamul</x:v>
      </x:c>
      <x:c r="D30" s="20" t="str">
        <x:v>2017</x:v>
      </x:c>
      <x:c r="E30" s="20" t="str">
        <x:v>A Dataset for Bengali Question Answering in the Health Domain</x:v>
      </x:c>
      <x:c r="F30" s="20" t="str">
        <x:v>Dataset record</x:v>
      </x:c>
      <x:c r="G30" s="20" t="str"/>
      <x:c r="H30" s="20" t="str">
        <x:v>https://data.mendeley.com/datasets/4tt953xwk2</x:v>
      </x:c>
      <x:c r="I30" s="20" t="str"/>
      <x:c r="J30" s="20" t="str"/>
      <x:c r="K30" s="20" t="str"/>
      <x:c r="L30" s="20" t="str">
        <x:v>03_Adjacent_Bangla_NLP</x:v>
      </x:c>
      <x:c r="M30" s="20" t="str">
        <x:v>03_Adjacent_Bangla_NLP</x:v>
      </x:c>
      <x:c r="N30" s="20" t="str">
        <x:v>bangla;dataset;health;qa</x:v>
      </x:c>
      <x:c r="O30" s="20" t="str">
        <x:v>QA;classification;NER</x:v>
      </x:c>
      <x:c r="P30" s="20" t="str">
        <x:v>bn</x:v>
      </x:c>
      <x:c r="Q30" s="20" t="str">
        <x:v>entity_preservation</x:v>
      </x:c>
      <x:c r="R30" s="20" t="str">
        <x:v>direct</x:v>
      </x:c>
      <x:c r="S30" s="20" t="str">
        <x:v>candidate</x:v>
      </x:c>
      <x:c r="T30" s="20" t="str">
        <x:v>url_stable_no_doi</x:v>
      </x:c>
      <x:c r="U30" s="20" t="str">
        <x:v>manual_seed</x:v>
      </x:c>
      <x:c r="V30" s="20" t="str"/>
    </x:row>
    <x:row r="31">
      <x:c r="A31" s="20" t="str">
        <x:v>laskar2023_benllmeval_comprehensive_evaluation</x:v>
      </x:c>
      <x:c r="B31" s="20" t="str">
        <x:v>misc</x:v>
      </x:c>
      <x:c r="C31" s="20" t="str">
        <x:v>Laskar, Md Tahmid Rahman and Bari, M. Saiful and Rahman, Mizanur and Bhuiyan, Md Saiful Islam and Joty, Shafiq and Huang, Jimmy</x:v>
      </x:c>
      <x:c r="D31" s="20" t="str">
        <x:v>2023</x:v>
      </x:c>
      <x:c r="E31" s="20" t="str">
        <x:v>BenLLMEval: A Comprehensive Evaluation into the Potentials and Pitfalls of Large Language Models on Bengali NLP</x:v>
      </x:c>
      <x:c r="F31" s="20" t="str">
        <x:v>arXiv preprint</x:v>
      </x:c>
      <x:c r="G31" s="20" t="str"/>
      <x:c r="H31" s="20" t="str">
        <x:v>https://arxiv.org/abs/2309.13173</x:v>
      </x:c>
      <x:c r="I31" s="20" t="str">
        <x:v>2309.13173</x:v>
      </x:c>
      <x:c r="J31" s="20" t="str"/>
      <x:c r="K31" s="20" t="str"/>
      <x:c r="L31" s="20" t="str">
        <x:v>03_Adjacent_Bangla_NLP</x:v>
      </x:c>
      <x:c r="M31" s="20" t="str">
        <x:v>03_Adjacent_Bangla_NLP</x:v>
      </x:c>
      <x:c r="N31" s="20" t="str">
        <x:v>bangla;benchmark;evaluation;llm</x:v>
      </x:c>
      <x:c r="O31" s="20" t="str">
        <x:v>evaluation</x:v>
      </x:c>
      <x:c r="P31" s="20" t="str">
        <x:v>bn</x:v>
      </x:c>
      <x:c r="Q31" s="20" t="str">
        <x:v>none</x:v>
      </x:c>
      <x:c r="R31" s="20" t="str">
        <x:v>direct</x:v>
      </x:c>
      <x:c r="S31" s="20" t="str">
        <x:v>supporting</x:v>
      </x:c>
      <x:c r="T31" s="20" t="str">
        <x:v>arxiv_stable_no_doi</x:v>
      </x:c>
      <x:c r="U31" s="20" t="str">
        <x:v>manual_seed</x:v>
      </x:c>
      <x:c r="V31" s="20" t="str"/>
    </x:row>
    <x:row r="32">
      <x:c r="A32" s="20" t="str">
        <x:v>kakwani2020_indicnlpsuite_monolingual_corpora</x:v>
      </x:c>
      <x:c r="B32" s="20" t="str">
        <x:v>inproceedings</x:v>
      </x:c>
      <x:c r="C32" s="20" t="str">
        <x:v>Kakwani, Divyanshu and Kunchukuttan, Anoop and Golla, Satish and Gokul, N.C. and Bhattacharyya, Avik and Khapra, Mitesh M. and Kumar, Pratyush</x:v>
      </x:c>
      <x:c r="D32" s="20" t="str">
        <x:v>2020</x:v>
      </x:c>
      <x:c r="E32" s="20" t="str">
        <x:v>IndicNLPSuite: Monolingual Corpora, Evaluation Benchmarks and Pre-trained Multilingual Language Models for Indian Languages</x:v>
      </x:c>
      <x:c r="F32" s="20" t="str">
        <x:v>Findings of the Association for Computational Linguistics: EMNLP 2020</x:v>
      </x:c>
      <x:c r="G32" s="20" t="str">
        <x:v>10.18653/v1/2020.findings-emnlp.445</x:v>
      </x:c>
      <x:c r="H32" s="20" t="str">
        <x:v>https://aclanthology.org/2020.findings-emnlp.445/</x:v>
      </x:c>
      <x:c r="I32" s="20" t="str"/>
      <x:c r="J32" s="20" t="str"/>
      <x:c r="K32" s="20" t="str">
        <x:v>2020.findings-emnlp.445</x:v>
      </x:c>
      <x:c r="L32" s="20" t="str">
        <x:v>03_Adjacent_Bangla_NLP</x:v>
      </x:c>
      <x:c r="M32" s="20" t="str">
        <x:v>03_Adjacent_Bangla_NLP</x:v>
      </x:c>
      <x:c r="N32" s="20" t="str">
        <x:v>bangla;indic;language-model;low-resource</x:v>
      </x:c>
      <x:c r="O32" s="20" t="str">
        <x:v>pretraining;benchmark</x:v>
      </x:c>
      <x:c r="P32" s="20" t="str">
        <x:v>bn;hi;ta;te;ml;mr;gu;kn;pa;or;as</x:v>
      </x:c>
      <x:c r="Q32" s="20" t="str">
        <x:v>none</x:v>
      </x:c>
      <x:c r="R32" s="20" t="str">
        <x:v>direct</x:v>
      </x:c>
      <x:c r="S32" s="20" t="str">
        <x:v>supporting</x:v>
      </x:c>
      <x:c r="T32" s="20" t="str">
        <x:v>doi_structurally_verified_from_source</x:v>
      </x:c>
      <x:c r="U32" s="20" t="str">
        <x:v>manual_seed</x:v>
      </x:c>
      <x:c r="V32" s="20" t="str"/>
    </x:row>
    <x:row r="33">
      <x:c r="A33" s="20" t="str">
        <x:v>ramesh2022_samanantar_largest_publicly</x:v>
      </x:c>
      <x:c r="B33" s="20" t="str">
        <x:v>article</x:v>
      </x:c>
      <x:c r="C33" s="20" t="str">
        <x:v>Ramesh, Gowtham and Doddapaneni, Sumanth and Bheemaraj, Aravinth and Jobanputra, Mayank and Ak, Raghavan and Sharma, Ajitesh and Sahoo, Sujit and Diddee, Harshita and J, Mahalakshmi and Kakwani, Divyanshu and Kumar, Navneet and Pradeep, Aswin and Nagaraj, Srihari and Deepak, Kumar and Kunchukuttan, Anoop and Khapra, Mitesh M. and Goyal, Pratyush</x:v>
      </x:c>
      <x:c r="D33" s="20" t="str">
        <x:v>2022</x:v>
      </x:c>
      <x:c r="E33" s="20" t="str">
        <x:v>Samanantar: The Largest Publicly Available Parallel Corpora Collection for 11 Indic Languages</x:v>
      </x:c>
      <x:c r="F33" s="20" t="str">
        <x:v>Transactions of the Association for Computational Linguistics</x:v>
      </x:c>
      <x:c r="G33" s="20" t="str">
        <x:v>10.1162/tacl_a_00452</x:v>
      </x:c>
      <x:c r="H33" s="20" t="str">
        <x:v>https://aclanthology.org/2022.tacl-1.9/</x:v>
      </x:c>
      <x:c r="I33" s="20" t="str"/>
      <x:c r="J33" s="20" t="str"/>
      <x:c r="K33" s="20" t="str"/>
      <x:c r="L33" s="20" t="str">
        <x:v>03_Adjacent_Bangla_NLP</x:v>
      </x:c>
      <x:c r="M33" s="20" t="str">
        <x:v>03_Adjacent_Bangla_NLP</x:v>
      </x:c>
      <x:c r="N33" s="20" t="str">
        <x:v>bangla;dataset;indic;machine-translation</x:v>
      </x:c>
      <x:c r="O33" s="20" t="str">
        <x:v>MT</x:v>
      </x:c>
      <x:c r="P33" s="20" t="str">
        <x:v>bn;hi;ta;te;ml;mr;gu;kn;pa;or;as;en</x:v>
      </x:c>
      <x:c r="Q33" s="20" t="str">
        <x:v>none</x:v>
      </x:c>
      <x:c r="R33" s="20" t="str">
        <x:v>direct</x:v>
      </x:c>
      <x:c r="S33" s="20" t="str">
        <x:v>supporting</x:v>
      </x:c>
      <x:c r="T33" s="20" t="str">
        <x:v>doi_structurally_verified_from_source</x:v>
      </x:c>
      <x:c r="U33" s="20" t="str">
        <x:v>manual_seed</x:v>
      </x:c>
      <x:c r="V33" s="20" t="str"/>
    </x:row>
    <x:row r="34">
      <x:c r="A34" s="20" t="str">
        <x:v>doddapaneni2023_indictrans2_high_quality</x:v>
      </x:c>
      <x:c r="B34" s="20" t="str">
        <x:v>misc</x:v>
      </x:c>
      <x:c r="C34" s="20" t="str">
        <x:v>Doddapaneni, Sumanth and Ramesh, Gowtham and Kunchukuttan, Anoop and Kumar, Pratyush and Khapra, Mitesh M.</x:v>
      </x:c>
      <x:c r="D34" s="20" t="str">
        <x:v>2023</x:v>
      </x:c>
      <x:c r="E34" s="20" t="str">
        <x:v>IndicTrans2: Towards High-Quality and Accessible Machine Translation Models for all 22 Scheduled Indian Languages</x:v>
      </x:c>
      <x:c r="F34" s="20" t="str">
        <x:v>arXiv preprint</x:v>
      </x:c>
      <x:c r="G34" s="20" t="str"/>
      <x:c r="H34" s="20" t="str">
        <x:v>https://arxiv.org/abs/2305.16307</x:v>
      </x:c>
      <x:c r="I34" s="20" t="str">
        <x:v>2305.16307</x:v>
      </x:c>
      <x:c r="J34" s="20" t="str"/>
      <x:c r="K34" s="20" t="str"/>
      <x:c r="L34" s="20" t="str">
        <x:v>03_Adjacent_Bangla_NLP</x:v>
      </x:c>
      <x:c r="M34" s="20" t="str">
        <x:v>03_Adjacent_Bangla_NLP</x:v>
      </x:c>
      <x:c r="N34" s="20" t="str">
        <x:v>bangla;indic;low-resource;machine-translation</x:v>
      </x:c>
      <x:c r="O34" s="20" t="str">
        <x:v>MT</x:v>
      </x:c>
      <x:c r="P34" s="20" t="str">
        <x:v>bn;indic</x:v>
      </x:c>
      <x:c r="Q34" s="20" t="str">
        <x:v>none</x:v>
      </x:c>
      <x:c r="R34" s="20" t="str">
        <x:v>direct</x:v>
      </x:c>
      <x:c r="S34" s="20" t="str">
        <x:v>supporting</x:v>
      </x:c>
      <x:c r="T34" s="20" t="str">
        <x:v>arxiv_stable_no_doi</x:v>
      </x:c>
      <x:c r="U34" s="20" t="str">
        <x:v>manual_seed</x:v>
      </x:c>
      <x:c r="V34" s="20" t="str"/>
    </x:row>
    <x:row r="35">
      <x:c r="A35" s="20" t="str">
        <x:v>costajuss2022_no_language_left</x:v>
      </x:c>
      <x:c r="B35" s="20" t="str">
        <x:v>misc</x:v>
      </x:c>
      <x:c r="C35" s="20" t="str">
        <x:v>Costa-jussà, Marta R. and Cross, James and Çelebi, Onur and Elbayad, Maha and Heafield, Kenneth and Heffernan, Kevin and Kalbassi, Elahe and Lam, Janice and Licht, Daniel and Maillard, Jean and Sun, Anna and Wang, Skyler and Wenzek, Guillaume and Youngblood, Al and Akula, Bapi and others</x:v>
      </x:c>
      <x:c r="D35" s="20" t="str">
        <x:v>2022</x:v>
      </x:c>
      <x:c r="E35" s="20" t="str">
        <x:v>No Language Left Behind: Scaling Human-Centered Machine Translation</x:v>
      </x:c>
      <x:c r="F35" s="20" t="str">
        <x:v>arXiv preprint</x:v>
      </x:c>
      <x:c r="G35" s="20" t="str"/>
      <x:c r="H35" s="20" t="str">
        <x:v>https://arxiv.org/abs/2207.04672</x:v>
      </x:c>
      <x:c r="I35" s="20" t="str">
        <x:v>2207.04672</x:v>
      </x:c>
      <x:c r="J35" s="20" t="str"/>
      <x:c r="K35" s="20" t="str"/>
      <x:c r="L35" s="20" t="str">
        <x:v>03_Adjacent_Bangla_NLP</x:v>
      </x:c>
      <x:c r="M35" s="20" t="str">
        <x:v>03_Adjacent_Bangla_NLP</x:v>
      </x:c>
      <x:c r="N35" s="20" t="str">
        <x:v>bangla;low-resource;machine-translation;multilingual</x:v>
      </x:c>
      <x:c r="O35" s="20" t="str">
        <x:v>MT</x:v>
      </x:c>
      <x:c r="P35" s="20" t="str">
        <x:v>200+</x:v>
      </x:c>
      <x:c r="Q35" s="20" t="str">
        <x:v>none</x:v>
      </x:c>
      <x:c r="R35" s="20" t="str">
        <x:v>transferable</x:v>
      </x:c>
      <x:c r="S35" s="20" t="str">
        <x:v>supporting</x:v>
      </x:c>
      <x:c r="T35" s="20" t="str">
        <x:v>arxiv_stable_no_doi</x:v>
      </x:c>
      <x:c r="U35" s="20" t="str">
        <x:v>manual_seed</x:v>
      </x:c>
      <x:c r="V35" s="20" t="str"/>
    </x:row>
    <x:row r="36">
      <x:c r="A36" s="20" t="str">
        <x:v>dabre2020_multilingual_neural_machine</x:v>
      </x:c>
      <x:c r="B36" s="20" t="str">
        <x:v>article</x:v>
      </x:c>
      <x:c r="C36" s="20" t="str">
        <x:v>Dabre, Raj and Chu, Chenhui and Kunchukuttan, Anoop</x:v>
      </x:c>
      <x:c r="D36" s="20" t="str">
        <x:v>2020</x:v>
      </x:c>
      <x:c r="E36" s="20" t="str">
        <x:v>A Survey of Multilingual Neural Machine Translation</x:v>
      </x:c>
      <x:c r="F36" s="20" t="str">
        <x:v>ACM Computing Surveys</x:v>
      </x:c>
      <x:c r="G36" s="20" t="str">
        <x:v>10.1145/3406095</x:v>
      </x:c>
      <x:c r="H36" s="20" t="str">
        <x:v>https://doi.org/10.1145/3406095</x:v>
      </x:c>
      <x:c r="I36" s="20" t="str"/>
      <x:c r="J36" s="20" t="str"/>
      <x:c r="K36" s="20" t="str"/>
      <x:c r="L36" s="20" t="str">
        <x:v>03_Adjacent_Bangla_NLP</x:v>
      </x:c>
      <x:c r="M36" s="20" t="str">
        <x:v>03_Adjacent_Bangla_NLP</x:v>
      </x:c>
      <x:c r="N36" s="20" t="str">
        <x:v>low-resource;machine-translation;multilingual;survey</x:v>
      </x:c>
      <x:c r="O36" s="20" t="str">
        <x:v>MT;survey</x:v>
      </x:c>
      <x:c r="P36" s="20" t="str">
        <x:v>multilingual</x:v>
      </x:c>
      <x:c r="Q36" s="20" t="str">
        <x:v>none</x:v>
      </x:c>
      <x:c r="R36" s="20" t="str">
        <x:v>transferable</x:v>
      </x:c>
      <x:c r="S36" s="20" t="str">
        <x:v>background</x:v>
      </x:c>
      <x:c r="T36" s="20" t="str">
        <x:v>doi_structurally_verified_from_source</x:v>
      </x:c>
      <x:c r="U36" s="20" t="str">
        <x:v>manual_seed</x:v>
      </x:c>
      <x:c r="V36" s="20" t="str"/>
    </x:row>
    <x:row r="37">
      <x:c r="A37" s="20" t="str">
        <x:v>hasan2020_not_low_resource</x:v>
      </x:c>
      <x:c r="B37" s="20" t="str">
        <x:v>inproceedings</x:v>
      </x:c>
      <x:c r="C37" s="20" t="str">
        <x:v>Hasan, Tahmid and Bhattacharjee, Abhik and Samin, Kazi and Hasan, Masum and Basak, Madhusudan and Rahman, M. Sohel and Shahriyar, Rifat</x:v>
      </x:c>
      <x:c r="D37" s="20" t="str">
        <x:v>2020</x:v>
      </x:c>
      <x:c r="E37" s="20" t="str">
        <x:v>Not Low-Resource Anymore: Aligner Ensembling, Batch Filtering, and New Datasets for Bengali-English Machine Translation</x:v>
      </x:c>
      <x:c r="F37" s="20" t="str">
        <x:v>Proceedings of EMNLP 2020</x:v>
      </x:c>
      <x:c r="G37" s="20" t="str">
        <x:v>10.18653/v1/2020.emnlp-main.207</x:v>
      </x:c>
      <x:c r="H37" s="20" t="str">
        <x:v>https://aclanthology.org/2020.emnlp-main.207/</x:v>
      </x:c>
      <x:c r="I37" s="20" t="str"/>
      <x:c r="J37" s="20" t="str"/>
      <x:c r="K37" s="20" t="str">
        <x:v>2020.emnlp-main.207</x:v>
      </x:c>
      <x:c r="L37" s="20" t="str">
        <x:v>03_Adjacent_Bangla_NLP</x:v>
      </x:c>
      <x:c r="M37" s="20" t="str">
        <x:v>03_Adjacent_Bangla_NLP</x:v>
      </x:c>
      <x:c r="N37" s="20" t="str">
        <x:v>bangla;dataset;machine-translation</x:v>
      </x:c>
      <x:c r="O37" s="20" t="str">
        <x:v>MT</x:v>
      </x:c>
      <x:c r="P37" s="20" t="str">
        <x:v>bn;en</x:v>
      </x:c>
      <x:c r="Q37" s="20" t="str">
        <x:v>none</x:v>
      </x:c>
      <x:c r="R37" s="20" t="str">
        <x:v>direct</x:v>
      </x:c>
      <x:c r="S37" s="20" t="str">
        <x:v>supporting</x:v>
      </x:c>
      <x:c r="T37" s="20" t="str">
        <x:v>doi_structurally_verified_from_source</x:v>
      </x:c>
      <x:c r="U37" s="20" t="str">
        <x:v>manual_seed</x:v>
      </x:c>
      <x:c r="V37" s="20" t="str"/>
    </x:row>
    <x:row r="38">
      <x:c r="A38" s="20" t="str">
        <x:v>akter2025_banglat5_mhealth_bengali</x:v>
      </x:c>
      <x:c r="B38" s="20" t="str">
        <x:v>misc</x:v>
      </x:c>
      <x:c r="C38" s="20" t="str">
        <x:v>Akter, Shabnam and Aziz, Faisal Ibn</x:v>
      </x:c>
      <x:c r="D38" s="20" t="str">
        <x:v>2025</x:v>
      </x:c>
      <x:c r="E38" s="20" t="str">
        <x:v>BanglaT5-mHealth: A Bengali Health-Domain Paraphrasing Model</x:v>
      </x:c>
      <x:c r="F38" s="20" t="str">
        <x:v>Hugging Face model card</x:v>
      </x:c>
      <x:c r="G38" s="20" t="str"/>
      <x:c r="H38" s="20" t="str">
        <x:v>https://huggingface.co/faisal4590aziz/bangla-t5-mHealth</x:v>
      </x:c>
      <x:c r="I38" s="20" t="str"/>
      <x:c r="J38" s="20" t="str"/>
      <x:c r="K38" s="20" t="str"/>
      <x:c r="L38" s="20" t="str">
        <x:v>03_Adjacent_Bangla_NLP</x:v>
      </x:c>
      <x:c r="M38" s="20" t="str">
        <x:v>03_Adjacent_Bangla_NLP</x:v>
      </x:c>
      <x:c r="N38" s="20" t="str">
        <x:v>bangla;health;model;paraphrase</x:v>
      </x:c>
      <x:c r="O38" s="20" t="str">
        <x:v>paraphrase</x:v>
      </x:c>
      <x:c r="P38" s="20" t="str">
        <x:v>bn</x:v>
      </x:c>
      <x:c r="Q38" s="20" t="str">
        <x:v>none</x:v>
      </x:c>
      <x:c r="R38" s="20" t="str">
        <x:v>direct</x:v>
      </x:c>
      <x:c r="S38" s="20" t="str">
        <x:v>candidate</x:v>
      </x:c>
      <x:c r="T38" s="20" t="str">
        <x:v>url_stable_no_doi</x:v>
      </x:c>
      <x:c r="U38" s="20" t="str">
        <x:v>manual_seed</x:v>
      </x:c>
      <x:c r="V38" s="20" t="str"/>
    </x:row>
    <x:row r="39">
      <x:c r="A39" s="20" t="str">
        <x:v>maynez2020_faithfulness_factuality_abstractive</x:v>
      </x:c>
      <x:c r="B39" s="20" t="str">
        <x:v>inproceedings</x:v>
      </x:c>
      <x:c r="C39" s="20" t="str">
        <x:v>Maynez, Joshua and Narayan, Shashi and Bohnet, Bernd and McDonald, Ryan</x:v>
      </x:c>
      <x:c r="D39" s="20" t="str">
        <x:v>2020</x:v>
      </x:c>
      <x:c r="E39" s="20" t="str">
        <x:v>On Faithfulness and Factuality in Abstractive Summarization</x:v>
      </x:c>
      <x:c r="F39" s="20" t="str">
        <x:v>Proceedings of the 58th Annual Meeting of the Association for Computational Linguistics</x:v>
      </x:c>
      <x:c r="G39" s="20" t="str">
        <x:v>10.18653/v1/2020.acl-main.173</x:v>
      </x:c>
      <x:c r="H39" s="20" t="str">
        <x:v>https://aclanthology.org/2020.acl-main.173/</x:v>
      </x:c>
      <x:c r="I39" s="20" t="str"/>
      <x:c r="J39" s="20" t="str"/>
      <x:c r="K39" s="20" t="str">
        <x:v>2020.acl-main.173</x:v>
      </x:c>
      <x:c r="L39" s="20" t="str">
        <x:v>04_Factuality_Methods</x:v>
      </x:c>
      <x:c r="M39" s="20" t="str">
        <x:v>04_Factuality_Methods</x:v>
      </x:c>
      <x:c r="N39" s="20" t="str">
        <x:v>factuality;hallucination;human-eval;summarization</x:v>
      </x:c>
      <x:c r="O39" s="20" t="str">
        <x:v>factuality-evaluation;summarization</x:v>
      </x:c>
      <x:c r="P39" s="20" t="str">
        <x:v>en</x:v>
      </x:c>
      <x:c r="Q39" s="20" t="str">
        <x:v>human_eval</x:v>
      </x:c>
      <x:c r="R39" s="20" t="str">
        <x:v>not_applicable</x:v>
      </x:c>
      <x:c r="S39" s="20" t="str">
        <x:v>core</x:v>
      </x:c>
      <x:c r="T39" s="20" t="str">
        <x:v>doi_structurally_verified_from_source</x:v>
      </x:c>
      <x:c r="U39" s="20" t="str">
        <x:v>manual_seed</x:v>
      </x:c>
      <x:c r="V39" s="20" t="str"/>
    </x:row>
    <x:row r="40">
      <x:c r="A40" s="20" t="str">
        <x:v>pagnoni2021_understanding_factuality_abstractive</x:v>
      </x:c>
      <x:c r="B40" s="20" t="str">
        <x:v>article</x:v>
      </x:c>
      <x:c r="C40" s="20" t="str">
        <x:v>Pagnoni, Artidoro and Balachandran, Vidhisha and Tsvetkov, Yulia</x:v>
      </x:c>
      <x:c r="D40" s="20" t="str">
        <x:v>2021</x:v>
      </x:c>
      <x:c r="E40" s="20" t="str">
        <x:v>Understanding Factuality in Abstractive Summarization with FRANK: A Benchmark for Factuality Metrics</x:v>
      </x:c>
      <x:c r="F40" s="20" t="str">
        <x:v>Transactions of the Association for Computational Linguistics</x:v>
      </x:c>
      <x:c r="G40" s="20" t="str">
        <x:v>10.1162/tacl_a_00368</x:v>
      </x:c>
      <x:c r="H40" s="20" t="str">
        <x:v>https://aclanthology.org/2021.tacl-1.28/</x:v>
      </x:c>
      <x:c r="I40" s="20" t="str"/>
      <x:c r="J40" s="20" t="str"/>
      <x:c r="K40" s="20" t="str"/>
      <x:c r="L40" s="20" t="str">
        <x:v>04_Factuality_Methods</x:v>
      </x:c>
      <x:c r="M40" s="20" t="str">
        <x:v>04_Factuality_Methods</x:v>
      </x:c>
      <x:c r="N40" s="20" t="str">
        <x:v>benchmark;factuality;human-eval;summarization</x:v>
      </x:c>
      <x:c r="O40" s="20" t="str">
        <x:v>factuality-evaluation</x:v>
      </x:c>
      <x:c r="P40" s="20" t="str">
        <x:v>en</x:v>
      </x:c>
      <x:c r="Q40" s="20" t="str">
        <x:v>human_eval</x:v>
      </x:c>
      <x:c r="R40" s="20" t="str">
        <x:v>not_applicable</x:v>
      </x:c>
      <x:c r="S40" s="20" t="str">
        <x:v>core</x:v>
      </x:c>
      <x:c r="T40" s="20" t="str">
        <x:v>doi_structurally_verified_from_source</x:v>
      </x:c>
      <x:c r="U40" s="20" t="str">
        <x:v>manual_seed</x:v>
      </x:c>
      <x:c r="V40" s="20" t="str"/>
    </x:row>
    <x:row r="41">
      <x:c r="A41" s="20" t="str">
        <x:v>gabriel2021_go_figure_meta</x:v>
      </x:c>
      <x:c r="B41" s="20" t="str">
        <x:v>inproceedings</x:v>
      </x:c>
      <x:c r="C41" s="20" t="str">
        <x:v>Gabriel, Saadia and Celikyilmaz, Asli and Jha, Rahul and Choi, Yejin and Gao, Jianfeng</x:v>
      </x:c>
      <x:c r="D41" s="20" t="str">
        <x:v>2021</x:v>
      </x:c>
      <x:c r="E41" s="20" t="str">
        <x:v>GO FIGURE: A Meta Evaluation of Factuality in Summarization</x:v>
      </x:c>
      <x:c r="F41" s="20" t="str">
        <x:v>Findings of the Association for Computational Linguistics: ACL-IJCNLP 2021</x:v>
      </x:c>
      <x:c r="G41" s="20" t="str">
        <x:v>10.18653/v1/2021.findings-acl.58</x:v>
      </x:c>
      <x:c r="H41" s="20" t="str">
        <x:v>https://aclanthology.org/2021.findings-acl.58/</x:v>
      </x:c>
      <x:c r="I41" s="20" t="str"/>
      <x:c r="J41" s="20" t="str"/>
      <x:c r="K41" s="20" t="str">
        <x:v>2021.findings-acl.58</x:v>
      </x:c>
      <x:c r="L41" s="20" t="str">
        <x:v>04_Factuality_Methods</x:v>
      </x:c>
      <x:c r="M41" s="20" t="str">
        <x:v>04_Factuality_Methods</x:v>
      </x:c>
      <x:c r="N41" s="20" t="str">
        <x:v>factuality;metric;summarization</x:v>
      </x:c>
      <x:c r="O41" s="20" t="str">
        <x:v>meta-evaluation</x:v>
      </x:c>
      <x:c r="P41" s="20" t="str">
        <x:v>en</x:v>
      </x:c>
      <x:c r="Q41" s="20" t="str">
        <x:v>metric</x:v>
      </x:c>
      <x:c r="R41" s="20" t="str">
        <x:v>not_applicable</x:v>
      </x:c>
      <x:c r="S41" s="20" t="str">
        <x:v>core</x:v>
      </x:c>
      <x:c r="T41" s="20" t="str">
        <x:v>doi_structurally_verified_from_source</x:v>
      </x:c>
      <x:c r="U41" s="20" t="str">
        <x:v>manual_seed</x:v>
      </x:c>
      <x:c r="V41" s="20" t="str"/>
    </x:row>
    <x:row r="42">
      <x:c r="A42" s="20" t="str">
        <x:v>falke2019_ranking_generated_summaries</x:v>
      </x:c>
      <x:c r="B42" s="20" t="str">
        <x:v>inproceedings</x:v>
      </x:c>
      <x:c r="C42" s="20" t="str">
        <x:v>Falke, Tobias and Ribeiro, Leonardo F. R. and Utama, Prasetya Ajie and Dagan, Ido and Gurevych, Iryna</x:v>
      </x:c>
      <x:c r="D42" s="20" t="str">
        <x:v>2019</x:v>
      </x:c>
      <x:c r="E42" s="20" t="str">
        <x:v>Ranking Generated Summaries by Correctness: An Interesting but Challenging Application for Natural Language Inference</x:v>
      </x:c>
      <x:c r="F42" s="20" t="str">
        <x:v>Proceedings of the 57th Annual Meeting of the Association for Computational Linguistics</x:v>
      </x:c>
      <x:c r="G42" s="20" t="str">
        <x:v>10.18653/v1/P19-1213</x:v>
      </x:c>
      <x:c r="H42" s="20" t="str">
        <x:v>https://aclanthology.org/P19-1213/</x:v>
      </x:c>
      <x:c r="I42" s="20" t="str"/>
      <x:c r="J42" s="20" t="str"/>
      <x:c r="K42" s="20" t="str">
        <x:v>P19-1213</x:v>
      </x:c>
      <x:c r="L42" s="20" t="str">
        <x:v>04_Factuality_Methods</x:v>
      </x:c>
      <x:c r="M42" s="20" t="str">
        <x:v>04_Factuality_Methods</x:v>
      </x:c>
      <x:c r="N42" s="20" t="str">
        <x:v>factuality;nli;summarization</x:v>
      </x:c>
      <x:c r="O42" s="20" t="str">
        <x:v>factuality-evaluation</x:v>
      </x:c>
      <x:c r="P42" s="20" t="str">
        <x:v>en</x:v>
      </x:c>
      <x:c r="Q42" s="20" t="str">
        <x:v>NLI</x:v>
      </x:c>
      <x:c r="R42" s="20" t="str">
        <x:v>not_applicable</x:v>
      </x:c>
      <x:c r="S42" s="20" t="str">
        <x:v>core</x:v>
      </x:c>
      <x:c r="T42" s="20" t="str">
        <x:v>doi_structurally_verified_from_source</x:v>
      </x:c>
      <x:c r="U42" s="20" t="str">
        <x:v>manual_seed</x:v>
      </x:c>
      <x:c r="V42" s="20" t="str"/>
    </x:row>
    <x:row r="43">
      <x:c r="A43" s="20" t="str">
        <x:v>kryscinski2020_evaluating_factual_consistency</x:v>
      </x:c>
      <x:c r="B43" s="20" t="str">
        <x:v>inproceedings</x:v>
      </x:c>
      <x:c r="C43" s="20" t="str">
        <x:v>Kryscinski, Wojciech and McCann, Bryan and Xiong, Caiming and Socher, Richard</x:v>
      </x:c>
      <x:c r="D43" s="20" t="str">
        <x:v>2020</x:v>
      </x:c>
      <x:c r="E43" s="20" t="str">
        <x:v>Evaluating the Factual Consistency of Abstractive Text Summarization</x:v>
      </x:c>
      <x:c r="F43" s="20" t="str">
        <x:v>Proceedings of the 2020 Conference on Empirical Methods in Natural Language Processing</x:v>
      </x:c>
      <x:c r="G43" s="20" t="str">
        <x:v>10.18653/v1/2020.emnlp-main.750</x:v>
      </x:c>
      <x:c r="H43" s="20" t="str">
        <x:v>https://aclanthology.org/2020.emnlp-main.750/</x:v>
      </x:c>
      <x:c r="I43" s="20" t="str"/>
      <x:c r="J43" s="20" t="str"/>
      <x:c r="K43" s="20" t="str">
        <x:v>2020.emnlp-main.750</x:v>
      </x:c>
      <x:c r="L43" s="20" t="str">
        <x:v>04_Factuality_Methods</x:v>
      </x:c>
      <x:c r="M43" s="20" t="str">
        <x:v>04_Factuality_Methods</x:v>
      </x:c>
      <x:c r="N43" s="20" t="str">
        <x:v>FactCC;factuality;summarization</x:v>
      </x:c>
      <x:c r="O43" s="20" t="str">
        <x:v>factuality-evaluation</x:v>
      </x:c>
      <x:c r="P43" s="20" t="str">
        <x:v>en</x:v>
      </x:c>
      <x:c r="Q43" s="20" t="str">
        <x:v>classifier</x:v>
      </x:c>
      <x:c r="R43" s="20" t="str">
        <x:v>not_applicable</x:v>
      </x:c>
      <x:c r="S43" s="20" t="str">
        <x:v>core</x:v>
      </x:c>
      <x:c r="T43" s="20" t="str">
        <x:v>doi_structurally_verified_from_source</x:v>
      </x:c>
      <x:c r="U43" s="20" t="str">
        <x:v>manual_seed</x:v>
      </x:c>
      <x:c r="V43" s="20" t="str"/>
    </x:row>
    <x:row r="44">
      <x:c r="A44" s="20" t="str">
        <x:v>goyal2021_annotating_modeling_fine</x:v>
      </x:c>
      <x:c r="B44" s="20" t="str">
        <x:v>inproceedings</x:v>
      </x:c>
      <x:c r="C44" s="20" t="str">
        <x:v>Goyal, Tanya and Durrett, Greg</x:v>
      </x:c>
      <x:c r="D44" s="20" t="str">
        <x:v>2021</x:v>
      </x:c>
      <x:c r="E44" s="20" t="str">
        <x:v>Annotating and Modeling Fine-grained Factuality in Summarization</x:v>
      </x:c>
      <x:c r="F44" s="20" t="str">
        <x:v>Proceedings of the 2021 Conference of the North American Chapter of the Association for Computational Linguistics</x:v>
      </x:c>
      <x:c r="G44" s="20" t="str">
        <x:v>10.18653/v1/2021.naacl-main.114</x:v>
      </x:c>
      <x:c r="H44" s="20" t="str">
        <x:v>https://aclanthology.org/2021.naacl-main.114/</x:v>
      </x:c>
      <x:c r="I44" s="20" t="str"/>
      <x:c r="J44" s="20" t="str"/>
      <x:c r="K44" s="20" t="str">
        <x:v>2021.naacl-main.114</x:v>
      </x:c>
      <x:c r="L44" s="20" t="str">
        <x:v>04_Factuality_Methods</x:v>
      </x:c>
      <x:c r="M44" s="20" t="str">
        <x:v>04_Factuality_Methods</x:v>
      </x:c>
      <x:c r="N44" s="20" t="str">
        <x:v>factuality;fine-grained;human-eval;summarization</x:v>
      </x:c>
      <x:c r="O44" s="20" t="str">
        <x:v>factuality-evaluation</x:v>
      </x:c>
      <x:c r="P44" s="20" t="str">
        <x:v>en</x:v>
      </x:c>
      <x:c r="Q44" s="20" t="str">
        <x:v>human_eval</x:v>
      </x:c>
      <x:c r="R44" s="20" t="str">
        <x:v>not_applicable</x:v>
      </x:c>
      <x:c r="S44" s="20" t="str">
        <x:v>core</x:v>
      </x:c>
      <x:c r="T44" s="20" t="str">
        <x:v>doi_structurally_verified_from_source</x:v>
      </x:c>
      <x:c r="U44" s="20" t="str">
        <x:v>manual_seed</x:v>
      </x:c>
      <x:c r="V44" s="20" t="str"/>
    </x:row>
    <x:row r="45">
      <x:c r="A45" s="20" t="str">
        <x:v>fabbri2021_summeval_re_evaluating</x:v>
      </x:c>
      <x:c r="B45" s="20" t="str">
        <x:v>article</x:v>
      </x:c>
      <x:c r="C45" s="20" t="str">
        <x:v>Fabbri, Alexander R. and Kryscinski, Wojciech and McCann, Bryan and Xiong, Caiming and Socher, Richard and Radev, Dragomir</x:v>
      </x:c>
      <x:c r="D45" s="20" t="str">
        <x:v>2021</x:v>
      </x:c>
      <x:c r="E45" s="20" t="str">
        <x:v>SummEval: Re-evaluating Summarization Evaluation</x:v>
      </x:c>
      <x:c r="F45" s="20" t="str">
        <x:v>Transactions of the Association for Computational Linguistics</x:v>
      </x:c>
      <x:c r="G45" s="20" t="str">
        <x:v>10.1162/tacl_a_00373</x:v>
      </x:c>
      <x:c r="H45" s="20" t="str">
        <x:v>https://aclanthology.org/2021.tacl-1.24/</x:v>
      </x:c>
      <x:c r="I45" s="20" t="str"/>
      <x:c r="J45" s="20" t="str"/>
      <x:c r="K45" s="20" t="str"/>
      <x:c r="L45" s="20" t="str">
        <x:v>04_Factuality_Methods</x:v>
      </x:c>
      <x:c r="M45" s="20" t="str">
        <x:v>04_Factuality_Methods</x:v>
      </x:c>
      <x:c r="N45" s="20" t="str">
        <x:v>evaluation;factuality;human-eval;summarization</x:v>
      </x:c>
      <x:c r="O45" s="20" t="str">
        <x:v>evaluation</x:v>
      </x:c>
      <x:c r="P45" s="20" t="str">
        <x:v>en</x:v>
      </x:c>
      <x:c r="Q45" s="20" t="str">
        <x:v>human_eval</x:v>
      </x:c>
      <x:c r="R45" s="20" t="str">
        <x:v>not_applicable</x:v>
      </x:c>
      <x:c r="S45" s="20" t="str">
        <x:v>supporting</x:v>
      </x:c>
      <x:c r="T45" s="20" t="str">
        <x:v>doi_structurally_verified_from_source</x:v>
      </x:c>
      <x:c r="U45" s="20" t="str">
        <x:v>manual_seed</x:v>
      </x:c>
      <x:c r="V45" s="20" t="str"/>
    </x:row>
    <x:row r="46">
      <x:c r="A46" s="20" t="str">
        <x:v>durmus2020_feqa_question_answering</x:v>
      </x:c>
      <x:c r="B46" s="20" t="str">
        <x:v>inproceedings</x:v>
      </x:c>
      <x:c r="C46" s="20" t="str">
        <x:v>Durmus, Esin and He, He and Diab, Mona</x:v>
      </x:c>
      <x:c r="D46" s="20" t="str">
        <x:v>2020</x:v>
      </x:c>
      <x:c r="E46" s="20" t="str">
        <x:v>FEQA: A Question Answering Evaluation Framework for Faithfulness Assessment in Abstractive Summarization</x:v>
      </x:c>
      <x:c r="F46" s="20" t="str">
        <x:v>Proceedings of the 58th Annual Meeting of the Association for Computational Linguistics</x:v>
      </x:c>
      <x:c r="G46" s="20" t="str">
        <x:v>10.18653/v1/2020.acl-main.454</x:v>
      </x:c>
      <x:c r="H46" s="20" t="str">
        <x:v>https://aclanthology.org/2020.acl-main.454/</x:v>
      </x:c>
      <x:c r="I46" s="20" t="str"/>
      <x:c r="J46" s="20" t="str"/>
      <x:c r="K46" s="20" t="str">
        <x:v>2020.acl-main.454</x:v>
      </x:c>
      <x:c r="L46" s="20" t="str">
        <x:v>04_Factuality_Methods</x:v>
      </x:c>
      <x:c r="M46" s="20" t="str">
        <x:v>04_Factuality_Methods</x:v>
      </x:c>
      <x:c r="N46" s="20" t="str">
        <x:v>factuality;qa;summarization</x:v>
      </x:c>
      <x:c r="O46" s="20" t="str">
        <x:v>factuality-evaluation</x:v>
      </x:c>
      <x:c r="P46" s="20" t="str">
        <x:v>en</x:v>
      </x:c>
      <x:c r="Q46" s="20" t="str">
        <x:v>QA</x:v>
      </x:c>
      <x:c r="R46" s="20" t="str">
        <x:v>not_applicable</x:v>
      </x:c>
      <x:c r="S46" s="20" t="str">
        <x:v>supporting</x:v>
      </x:c>
      <x:c r="T46" s="20" t="str">
        <x:v>doi_structurally_verified_from_source</x:v>
      </x:c>
      <x:c r="U46" s="20" t="str">
        <x:v>manual_seed</x:v>
      </x:c>
      <x:c r="V46" s="20" t="str"/>
    </x:row>
    <x:row r="47">
      <x:c r="A47" s="20" t="str">
        <x:v>wang2020_asking_answering_questions</x:v>
      </x:c>
      <x:c r="B47" s="20" t="str">
        <x:v>inproceedings</x:v>
      </x:c>
      <x:c r="C47" s="20" t="str">
        <x:v>Wang, Alex and Cho, Kyunghyun and Lewis, Mike</x:v>
      </x:c>
      <x:c r="D47" s="20" t="str">
        <x:v>2020</x:v>
      </x:c>
      <x:c r="E47" s="20" t="str">
        <x:v>Asking and Answering Questions to Evaluate the Factual Consistency of Summaries</x:v>
      </x:c>
      <x:c r="F47" s="20" t="str">
        <x:v>Proceedings of the 58th Annual Meeting of the Association for Computational Linguistics</x:v>
      </x:c>
      <x:c r="G47" s="20" t="str">
        <x:v>10.18653/v1/2020.acl-main.450</x:v>
      </x:c>
      <x:c r="H47" s="20" t="str">
        <x:v>https://aclanthology.org/2020.acl-main.450/</x:v>
      </x:c>
      <x:c r="I47" s="20" t="str"/>
      <x:c r="J47" s="20" t="str"/>
      <x:c r="K47" s="20" t="str">
        <x:v>2020.acl-main.450</x:v>
      </x:c>
      <x:c r="L47" s="20" t="str">
        <x:v>04_Factuality_Methods</x:v>
      </x:c>
      <x:c r="M47" s="20" t="str">
        <x:v>04_Factuality_Methods</x:v>
      </x:c>
      <x:c r="N47" s="20" t="str">
        <x:v>factuality;qa;summarization</x:v>
      </x:c>
      <x:c r="O47" s="20" t="str">
        <x:v>factuality-evaluation</x:v>
      </x:c>
      <x:c r="P47" s="20" t="str">
        <x:v>en</x:v>
      </x:c>
      <x:c r="Q47" s="20" t="str">
        <x:v>QA</x:v>
      </x:c>
      <x:c r="R47" s="20" t="str">
        <x:v>not_applicable</x:v>
      </x:c>
      <x:c r="S47" s="20" t="str">
        <x:v>supporting</x:v>
      </x:c>
      <x:c r="T47" s="20" t="str">
        <x:v>doi_structurally_verified_from_source</x:v>
      </x:c>
      <x:c r="U47" s="20" t="str">
        <x:v>manual_seed</x:v>
      </x:c>
      <x:c r="V47" s="20" t="str"/>
    </x:row>
    <x:row r="48">
      <x:c r="A48" s="20" t="str">
        <x:v>scialom2021_questeval_summarization_asks</x:v>
      </x:c>
      <x:c r="B48" s="20" t="str">
        <x:v>inproceedings</x:v>
      </x:c>
      <x:c r="C48" s="20" t="str">
        <x:v>Scialom, Thomas and Dray, Paul-Alexis and Lamprier, Sylvain and Piwowarski, Benjamin and Staiano, Jacopo</x:v>
      </x:c>
      <x:c r="D48" s="20" t="str">
        <x:v>2021</x:v>
      </x:c>
      <x:c r="E48" s="20" t="str">
        <x:v>QuestEval: Summarization Asks for Fact-based Evaluation</x:v>
      </x:c>
      <x:c r="F48" s="20" t="str">
        <x:v>Proceedings of the 2021 Conference on Empirical Methods in Natural Language Processing</x:v>
      </x:c>
      <x:c r="G48" s="20" t="str">
        <x:v>10.18653/v1/2021.emnlp-main.529</x:v>
      </x:c>
      <x:c r="H48" s="20" t="str">
        <x:v>https://aclanthology.org/2021.emnlp-main.529/</x:v>
      </x:c>
      <x:c r="I48" s="20" t="str"/>
      <x:c r="J48" s="20" t="str"/>
      <x:c r="K48" s="20" t="str">
        <x:v>2021.emnlp-main.529</x:v>
      </x:c>
      <x:c r="L48" s="20" t="str">
        <x:v>04_Factuality_Methods</x:v>
      </x:c>
      <x:c r="M48" s="20" t="str">
        <x:v>04_Factuality_Methods</x:v>
      </x:c>
      <x:c r="N48" s="20" t="str">
        <x:v>evaluation;factuality;qa</x:v>
      </x:c>
      <x:c r="O48" s="20" t="str">
        <x:v>evaluation</x:v>
      </x:c>
      <x:c r="P48" s="20" t="str">
        <x:v>en</x:v>
      </x:c>
      <x:c r="Q48" s="20" t="str">
        <x:v>QA</x:v>
      </x:c>
      <x:c r="R48" s="20" t="str">
        <x:v>not_applicable</x:v>
      </x:c>
      <x:c r="S48" s="20" t="str">
        <x:v>supporting</x:v>
      </x:c>
      <x:c r="T48" s="20" t="str">
        <x:v>doi_structurally_verified_from_source</x:v>
      </x:c>
      <x:c r="U48" s="20" t="str">
        <x:v>manual_seed</x:v>
      </x:c>
      <x:c r="V48" s="20" t="str"/>
    </x:row>
    <x:row r="49">
      <x:c r="A49" s="20" t="str">
        <x:v>laban2022_summac_re_visiting</x:v>
      </x:c>
      <x:c r="B49" s="20" t="str">
        <x:v>article</x:v>
      </x:c>
      <x:c r="C49" s="20" t="str">
        <x:v>Laban, Philippe and Schnabel, Tobias and Bennett, Paul N. and Hearst, Marti A.</x:v>
      </x:c>
      <x:c r="D49" s="20" t="str">
        <x:v>2022</x:v>
      </x:c>
      <x:c r="E49" s="20" t="str">
        <x:v>SummaC: Re-Visiting NLI-based Models for Inconsistency Detection in Summarization</x:v>
      </x:c>
      <x:c r="F49" s="20" t="str">
        <x:v>Transactions of the Association for Computational Linguistics</x:v>
      </x:c>
      <x:c r="G49" s="20" t="str">
        <x:v>10.1162/tacl_a_00453</x:v>
      </x:c>
      <x:c r="H49" s="20" t="str">
        <x:v>https://aclanthology.org/2022.tacl-1.10/</x:v>
      </x:c>
      <x:c r="I49" s="20" t="str"/>
      <x:c r="J49" s="20" t="str"/>
      <x:c r="K49" s="20" t="str"/>
      <x:c r="L49" s="20" t="str">
        <x:v>04_Factuality_Methods</x:v>
      </x:c>
      <x:c r="M49" s="20" t="str">
        <x:v>04_Factuality_Methods</x:v>
      </x:c>
      <x:c r="N49" s="20" t="str">
        <x:v>factuality;nli;summarization</x:v>
      </x:c>
      <x:c r="O49" s="20" t="str">
        <x:v>factuality-evaluation</x:v>
      </x:c>
      <x:c r="P49" s="20" t="str">
        <x:v>en</x:v>
      </x:c>
      <x:c r="Q49" s="20" t="str">
        <x:v>NLI</x:v>
      </x:c>
      <x:c r="R49" s="20" t="str">
        <x:v>not_applicable</x:v>
      </x:c>
      <x:c r="S49" s="20" t="str">
        <x:v>supporting</x:v>
      </x:c>
      <x:c r="T49" s="20" t="str">
        <x:v>doi_structurally_verified_from_source</x:v>
      </x:c>
      <x:c r="U49" s="20" t="str">
        <x:v>manual_seed</x:v>
      </x:c>
      <x:c r="V49" s="20" t="str"/>
    </x:row>
    <x:row r="50">
      <x:c r="A50" s="20" t="str">
        <x:v>min2023_factscore_fine_grained</x:v>
      </x:c>
      <x:c r="B50" s="20" t="str">
        <x:v>inproceedings</x:v>
      </x:c>
      <x:c r="C50" s="20" t="str">
        <x:v>Min, Sewon and Krishna, Kalpesh and Lyu, Xinxi and Lewis, Mike and Zettlemoyer, Luke and Hajishirzi, Hannaneh</x:v>
      </x:c>
      <x:c r="D50" s="20" t="str">
        <x:v>2023</x:v>
      </x:c>
      <x:c r="E50" s="20" t="str">
        <x:v>FActScore: Fine-grained Atomic Evaluation of Factual Precision in Long Form Text Generation</x:v>
      </x:c>
      <x:c r="F50" s="20" t="str">
        <x:v>Proceedings of the 2023 Conference on Empirical Methods in Natural Language Processing</x:v>
      </x:c>
      <x:c r="G50" s="20" t="str">
        <x:v>10.18653/v1/2023.emnlp-main.741</x:v>
      </x:c>
      <x:c r="H50" s="20" t="str">
        <x:v>https://aclanthology.org/2023.emnlp-main.741/</x:v>
      </x:c>
      <x:c r="I50" s="20" t="str"/>
      <x:c r="J50" s="20" t="str"/>
      <x:c r="K50" s="20" t="str">
        <x:v>2023.emnlp-main.741</x:v>
      </x:c>
      <x:c r="L50" s="20" t="str">
        <x:v>04_Factuality_Methods</x:v>
      </x:c>
      <x:c r="M50" s="20" t="str">
        <x:v>04_Factuality_Methods</x:v>
      </x:c>
      <x:c r="N50" s="20" t="str">
        <x:v>atomic-facts;factuality;long-form-generation</x:v>
      </x:c>
      <x:c r="O50" s="20" t="str">
        <x:v>factuality-evaluation</x:v>
      </x:c>
      <x:c r="P50" s="20" t="str">
        <x:v>en</x:v>
      </x:c>
      <x:c r="Q50" s="20" t="str">
        <x:v>atomic_facts</x:v>
      </x:c>
      <x:c r="R50" s="20" t="str">
        <x:v>not_applicable</x:v>
      </x:c>
      <x:c r="S50" s="20" t="str">
        <x:v>core</x:v>
      </x:c>
      <x:c r="T50" s="20" t="str">
        <x:v>doi_structurally_verified_from_source</x:v>
      </x:c>
      <x:c r="U50" s="20" t="str">
        <x:v>manual_seed</x:v>
      </x:c>
      <x:c r="V50" s="20" t="str"/>
    </x:row>
    <x:row r="51">
      <x:c r="A51" s="20" t="str">
        <x:v>zha2023_alignscore_evaluating_factual</x:v>
      </x:c>
      <x:c r="B51" s="20" t="str">
        <x:v>inproceedings</x:v>
      </x:c>
      <x:c r="C51" s="20" t="str">
        <x:v>Zha, Yuheng and Yang, Yichao and Li, Ruohong and Hu, Xia</x:v>
      </x:c>
      <x:c r="D51" s="20" t="str">
        <x:v>2023</x:v>
      </x:c>
      <x:c r="E51" s="20" t="str">
        <x:v>AlignScore: Evaluating Factual Consistency with A Unified Alignment Function</x:v>
      </x:c>
      <x:c r="F51" s="20" t="str">
        <x:v>Proceedings of the 61st Annual Meeting of the Association for Computational Linguistics</x:v>
      </x:c>
      <x:c r="G51" s="20" t="str">
        <x:v>10.18653/v1/2023.acl-long.634</x:v>
      </x:c>
      <x:c r="H51" s="20" t="str">
        <x:v>https://aclanthology.org/2023.acl-long.634/</x:v>
      </x:c>
      <x:c r="I51" s="20" t="str"/>
      <x:c r="J51" s="20" t="str"/>
      <x:c r="K51" s="20" t="str">
        <x:v>2023.acl-long.634</x:v>
      </x:c>
      <x:c r="L51" s="20" t="str">
        <x:v>04_Factuality_Methods</x:v>
      </x:c>
      <x:c r="M51" s="20" t="str">
        <x:v>04_Factuality_Methods</x:v>
      </x:c>
      <x:c r="N51" s="20" t="str">
        <x:v>alignment;evaluation;factuality</x:v>
      </x:c>
      <x:c r="O51" s="20" t="str">
        <x:v>factuality-evaluation</x:v>
      </x:c>
      <x:c r="P51" s="20" t="str">
        <x:v>en</x:v>
      </x:c>
      <x:c r="Q51" s="20" t="str">
        <x:v>alignment</x:v>
      </x:c>
      <x:c r="R51" s="20" t="str">
        <x:v>not_applicable</x:v>
      </x:c>
      <x:c r="S51" s="20" t="str">
        <x:v>supporting</x:v>
      </x:c>
      <x:c r="T51" s="20" t="str">
        <x:v>doi_structurally_verified_from_source</x:v>
      </x:c>
      <x:c r="U51" s="20" t="str">
        <x:v>manual_seed</x:v>
      </x:c>
      <x:c r="V51" s="20" t="str"/>
    </x:row>
    <x:row r="52">
      <x:c r="A52" s="20" t="str">
        <x:v>koto2020_ffci_framework_interpretable</x:v>
      </x:c>
      <x:c r="B52" s="20" t="str">
        <x:v>inproceedings</x:v>
      </x:c>
      <x:c r="C52" s="20" t="str">
        <x:v>Koto, Fajri and Lau, Jey Han and Baldwin, Timothy</x:v>
      </x:c>
      <x:c r="D52" s="20" t="str">
        <x:v>2020</x:v>
      </x:c>
      <x:c r="E52" s="20" t="str">
        <x:v>FFCI: A Framework for Interpretable Automatic Evaluation of Summarization</x:v>
      </x:c>
      <x:c r="F52" s="20" t="str">
        <x:v>Proceedings of COLING 2020</x:v>
      </x:c>
      <x:c r="G52" s="20" t="str"/>
      <x:c r="H52" s="20" t="str">
        <x:v>https://aclanthology.org/2020.coling-main.251/</x:v>
      </x:c>
      <x:c r="I52" s="20" t="str"/>
      <x:c r="J52" s="20" t="str"/>
      <x:c r="K52" s="20" t="str">
        <x:v>2020.coling-main.251</x:v>
      </x:c>
      <x:c r="L52" s="20" t="str">
        <x:v>04_Factuality_Methods</x:v>
      </x:c>
      <x:c r="M52" s="20" t="str">
        <x:v>04_Factuality_Methods</x:v>
      </x:c>
      <x:c r="N52" s="20" t="str">
        <x:v>evaluation;factuality;summarization</x:v>
      </x:c>
      <x:c r="O52" s="20" t="str">
        <x:v>evaluation</x:v>
      </x:c>
      <x:c r="P52" s="20" t="str">
        <x:v>en</x:v>
      </x:c>
      <x:c r="Q52" s="20" t="str">
        <x:v>metric</x:v>
      </x:c>
      <x:c r="R52" s="20" t="str">
        <x:v>not_applicable</x:v>
      </x:c>
      <x:c r="S52" s="20" t="str">
        <x:v>supporting</x:v>
      </x:c>
      <x:c r="T52" s="20" t="str">
        <x:v>acl_id_stable_no_doi_field</x:v>
      </x:c>
      <x:c r="U52" s="20" t="str">
        <x:v>manual_seed</x:v>
      </x:c>
      <x:c r="V52" s="20" t="str"/>
    </x:row>
    <x:row r="53">
      <x:c r="A53" s="20" t="str">
        <x:v>cao2018_faithful_original_fact</x:v>
      </x:c>
      <x:c r="B53" s="20" t="str">
        <x:v>inproceedings</x:v>
      </x:c>
      <x:c r="C53" s="20" t="str">
        <x:v>Cao, Ziqiang and Wei, Furu and Li, Wenjie and Li, Sujian</x:v>
      </x:c>
      <x:c r="D53" s="20" t="str">
        <x:v>2018</x:v>
      </x:c>
      <x:c r="E53" s="20" t="str">
        <x:v>Faithful to the Original: Fact Aware Neural Abstractive Summarization</x:v>
      </x:c>
      <x:c r="F53" s="20" t="str">
        <x:v>Proceedings of AAAI 2018</x:v>
      </x:c>
      <x:c r="G53" s="20" t="str">
        <x:v>10.1609/aaai.v32i1.11960</x:v>
      </x:c>
      <x:c r="H53" s="20" t="str">
        <x:v>https://ojs.aaai.org/index.php/AAAI/article/view/11960</x:v>
      </x:c>
      <x:c r="I53" s="20" t="str"/>
      <x:c r="J53" s="20" t="str"/>
      <x:c r="K53" s="20" t="str"/>
      <x:c r="L53" s="20" t="str">
        <x:v>04_Factuality_Methods</x:v>
      </x:c>
      <x:c r="M53" s="20" t="str">
        <x:v>04_Factuality_Methods</x:v>
      </x:c>
      <x:c r="N53" s="20" t="str">
        <x:v>factuality;knowledge;summarization</x:v>
      </x:c>
      <x:c r="O53" s="20" t="str">
        <x:v>summarization</x:v>
      </x:c>
      <x:c r="P53" s="20" t="str">
        <x:v>en</x:v>
      </x:c>
      <x:c r="Q53" s="20" t="str">
        <x:v>knowledge_aware</x:v>
      </x:c>
      <x:c r="R53" s="20" t="str">
        <x:v>not_applicable</x:v>
      </x:c>
      <x:c r="S53" s="20" t="str">
        <x:v>supporting</x:v>
      </x:c>
      <x:c r="T53" s="20" t="str">
        <x:v>doi_structurally_verified_from_source</x:v>
      </x:c>
      <x:c r="U53" s="20" t="str">
        <x:v>manual_seed</x:v>
      </x:c>
      <x:c r="V53" s="20" t="str"/>
    </x:row>
    <x:row r="54">
      <x:c r="A54" s="20" t="str">
        <x:v>goodrich2019_assessing_factual_accuracy</x:v>
      </x:c>
      <x:c r="B54" s="20" t="str">
        <x:v>inproceedings</x:v>
      </x:c>
      <x:c r="C54" s="20" t="str">
        <x:v>Goodrich, Ben and Rao, Vinay and Liu, Peter J. and Saleh, Mohammad</x:v>
      </x:c>
      <x:c r="D54" s="20" t="str">
        <x:v>2019</x:v>
      </x:c>
      <x:c r="E54" s="20" t="str">
        <x:v>Assessing the Factual Accuracy of Generated Text</x:v>
      </x:c>
      <x:c r="F54" s="20" t="str">
        <x:v>Proceedings of the 25th ACM SIGKDD International Conference on Knowledge Discovery and Data Mining</x:v>
      </x:c>
      <x:c r="G54" s="20" t="str">
        <x:v>10.1145/3292500.3330955</x:v>
      </x:c>
      <x:c r="H54" s="20" t="str">
        <x:v>https://doi.org/10.1145/3292500.3330955</x:v>
      </x:c>
      <x:c r="I54" s="20" t="str"/>
      <x:c r="J54" s="20" t="str"/>
      <x:c r="K54" s="20" t="str"/>
      <x:c r="L54" s="20" t="str">
        <x:v>04_Factuality_Methods</x:v>
      </x:c>
      <x:c r="M54" s="20" t="str">
        <x:v>04_Factuality_Methods</x:v>
      </x:c>
      <x:c r="N54" s="20" t="str">
        <x:v>data-to-text;evaluation;factuality</x:v>
      </x:c>
      <x:c r="O54" s="20" t="str">
        <x:v>evaluation</x:v>
      </x:c>
      <x:c r="P54" s="20" t="str">
        <x:v>en</x:v>
      </x:c>
      <x:c r="Q54" s="20" t="str">
        <x:v>classifier</x:v>
      </x:c>
      <x:c r="R54" s="20" t="str">
        <x:v>not_applicable</x:v>
      </x:c>
      <x:c r="S54" s="20" t="str">
        <x:v>supporting</x:v>
      </x:c>
      <x:c r="T54" s="20" t="str">
        <x:v>doi_structurally_verified_from_source</x:v>
      </x:c>
      <x:c r="U54" s="20" t="str">
        <x:v>manual_seed</x:v>
      </x:c>
      <x:c r="V54" s="20" t="str"/>
    </x:row>
    <x:row r="55">
      <x:c r="A55" s="20" t="str">
        <x:v>dziri2022_evaluating_attribution_dialogue</x:v>
      </x:c>
      <x:c r="B55" s="20" t="str">
        <x:v>article</x:v>
      </x:c>
      <x:c r="C55" s="20" t="str">
        <x:v>Dziri, Nouha and Rashkin, Hannah and Linzen, Tal and Reitter, David</x:v>
      </x:c>
      <x:c r="D55" s="20" t="str">
        <x:v>2022</x:v>
      </x:c>
      <x:c r="E55" s="20" t="str">
        <x:v>Evaluating Attribution in Dialogue Systems: The BEGIN Benchmark</x:v>
      </x:c>
      <x:c r="F55" s="20" t="str">
        <x:v>Transactions of the Association for Computational Linguistics</x:v>
      </x:c>
      <x:c r="G55" s="20" t="str">
        <x:v>10.1162/tacl_a_00506</x:v>
      </x:c>
      <x:c r="H55" s="20" t="str">
        <x:v>https://aclanthology.org/2022.tacl-1.62/</x:v>
      </x:c>
      <x:c r="I55" s="20" t="str"/>
      <x:c r="J55" s="20" t="str"/>
      <x:c r="K55" s="20" t="str"/>
      <x:c r="L55" s="20" t="str">
        <x:v>04_Factuality_Methods</x:v>
      </x:c>
      <x:c r="M55" s="20" t="str">
        <x:v>04_Factuality_Methods</x:v>
      </x:c>
      <x:c r="N55" s="20" t="str">
        <x:v>attribution;dialogue;factuality</x:v>
      </x:c>
      <x:c r="O55" s="20" t="str">
        <x:v>evaluation</x:v>
      </x:c>
      <x:c r="P55" s="20" t="str">
        <x:v>en</x:v>
      </x:c>
      <x:c r="Q55" s="20" t="str">
        <x:v>attribution</x:v>
      </x:c>
      <x:c r="R55" s="20" t="str">
        <x:v>not_applicable</x:v>
      </x:c>
      <x:c r="S55" s="20" t="str">
        <x:v>supporting</x:v>
      </x:c>
      <x:c r="T55" s="20" t="str">
        <x:v>doi_structurally_verified_from_source</x:v>
      </x:c>
      <x:c r="U55" s="20" t="str">
        <x:v>manual_seed</x:v>
      </x:c>
      <x:c r="V55" s="20" t="str"/>
    </x:row>
    <x:row r="56">
      <x:c r="A56" s="20" t="str">
        <x:v>rashkin2023_measuring_attribution_natural</x:v>
      </x:c>
      <x:c r="B56" s="20" t="str">
        <x:v>article</x:v>
      </x:c>
      <x:c r="C56" s="20" t="str">
        <x:v>Rashkin, Hannah and Nikolaev, Vitaly and Lamm, Matthew and Aroyo, Lora and Collins, Michael and Das, Dipanjan and Petroni, Fabio and Malaviya, Chaitanya and Lehman, Eric and Fabbri, Alexander and Kryscinski, Wojciech and Nakov, Preslav and Ji, Heng</x:v>
      </x:c>
      <x:c r="D56" s="20" t="str">
        <x:v>2023</x:v>
      </x:c>
      <x:c r="E56" s="20" t="str">
        <x:v>Measuring Attribution in Natural Language Generation Models</x:v>
      </x:c>
      <x:c r="F56" s="20" t="str">
        <x:v>Computational Linguistics</x:v>
      </x:c>
      <x:c r="G56" s="20" t="str">
        <x:v>10.1162/coli_a_00486</x:v>
      </x:c>
      <x:c r="H56" s="20" t="str">
        <x:v>https://doi.org/10.1162/coli_a_00486</x:v>
      </x:c>
      <x:c r="I56" s="20" t="str"/>
      <x:c r="J56" s="20" t="str"/>
      <x:c r="K56" s="20" t="str"/>
      <x:c r="L56" s="20" t="str">
        <x:v>04_Factuality_Methods</x:v>
      </x:c>
      <x:c r="M56" s="20" t="str">
        <x:v>04_Factuality_Methods</x:v>
      </x:c>
      <x:c r="N56" s="20" t="str">
        <x:v>attribution;factuality;nlg</x:v>
      </x:c>
      <x:c r="O56" s="20" t="str">
        <x:v>evaluation</x:v>
      </x:c>
      <x:c r="P56" s="20" t="str">
        <x:v>en</x:v>
      </x:c>
      <x:c r="Q56" s="20" t="str">
        <x:v>attribution</x:v>
      </x:c>
      <x:c r="R56" s="20" t="str">
        <x:v>not_applicable</x:v>
      </x:c>
      <x:c r="S56" s="20" t="str">
        <x:v>supporting</x:v>
      </x:c>
      <x:c r="T56" s="20" t="str">
        <x:v>doi_structurally_verified_from_source</x:v>
      </x:c>
      <x:c r="U56" s="20" t="str">
        <x:v>manual_seed</x:v>
      </x:c>
      <x:c r="V56" s="20" t="str"/>
    </x:row>
    <x:row r="57">
      <x:c r="A57" s="20" t="str">
        <x:v>li2023_hallucination_natural_language</x:v>
      </x:c>
      <x:c r="B57" s="20" t="str">
        <x:v>misc</x:v>
      </x:c>
      <x:c r="C57" s="20" t="str">
        <x:v>Li, Haoran and Zhu, Junnan and Zhang, Jiajun and Zong, Chengqing</x:v>
      </x:c>
      <x:c r="D57" s="20" t="str">
        <x:v>2023</x:v>
      </x:c>
      <x:c r="E57" s="20" t="str">
        <x:v>Survey of Hallucination in Natural Language Generation</x:v>
      </x:c>
      <x:c r="F57" s="20" t="str">
        <x:v>arXiv preprint</x:v>
      </x:c>
      <x:c r="G57" s="20" t="str"/>
      <x:c r="H57" s="20" t="str">
        <x:v>https://arxiv.org/abs/2202.03629</x:v>
      </x:c>
      <x:c r="I57" s="20" t="str">
        <x:v>2202.03629</x:v>
      </x:c>
      <x:c r="J57" s="20" t="str"/>
      <x:c r="K57" s="20" t="str"/>
      <x:c r="L57" s="20" t="str">
        <x:v>04_Factuality_Methods</x:v>
      </x:c>
      <x:c r="M57" s="20" t="str">
        <x:v>04_Factuality_Methods</x:v>
      </x:c>
      <x:c r="N57" s="20" t="str">
        <x:v>factuality;hallucination;survey</x:v>
      </x:c>
      <x:c r="O57" s="20" t="str">
        <x:v>survey</x:v>
      </x:c>
      <x:c r="P57" s="20" t="str">
        <x:v>en</x:v>
      </x:c>
      <x:c r="Q57" s="20" t="str">
        <x:v>survey</x:v>
      </x:c>
      <x:c r="R57" s="20" t="str">
        <x:v>not_applicable</x:v>
      </x:c>
      <x:c r="S57" s="20" t="str">
        <x:v>background</x:v>
      </x:c>
      <x:c r="T57" s="20" t="str">
        <x:v>arxiv_stable_no_doi</x:v>
      </x:c>
      <x:c r="U57" s="20" t="str">
        <x:v>manual_seed</x:v>
      </x:c>
      <x:c r="V57" s="20" t="str"/>
    </x:row>
    <x:row r="58">
      <x:c r="A58" s="20" t="str">
        <x:v>ji2023_hallucination_natural_language</x:v>
      </x:c>
      <x:c r="B58" s="20" t="str">
        <x:v>article</x:v>
      </x:c>
      <x:c r="C58" s="20" t="str">
        <x:v>Ji, Ziwei and Lee, Nayeon and Frieske, Rita and Yu, Tiezheng and Su, Dan and Xu, Yan and Ishii, Etsuko and Bang, Ye Jin and Madotto, Andrea and Fung, Pascale</x:v>
      </x:c>
      <x:c r="D58" s="20" t="str">
        <x:v>2023</x:v>
      </x:c>
      <x:c r="E58" s="20" t="str">
        <x:v>Survey of Hallucination in Natural Language Generation</x:v>
      </x:c>
      <x:c r="F58" s="20" t="str">
        <x:v>ACM Computing Surveys</x:v>
      </x:c>
      <x:c r="G58" s="20" t="str">
        <x:v>10.1145/3571730</x:v>
      </x:c>
      <x:c r="H58" s="20" t="str">
        <x:v>https://doi.org/10.1145/3571730</x:v>
      </x:c>
      <x:c r="I58" s="20" t="str"/>
      <x:c r="J58" s="20" t="str"/>
      <x:c r="K58" s="20" t="str"/>
      <x:c r="L58" s="20" t="str">
        <x:v>04_Factuality_Methods</x:v>
      </x:c>
      <x:c r="M58" s="20" t="str">
        <x:v>04_Factuality_Methods</x:v>
      </x:c>
      <x:c r="N58" s="20" t="str">
        <x:v>factuality;hallucination;survey</x:v>
      </x:c>
      <x:c r="O58" s="20" t="str">
        <x:v>survey</x:v>
      </x:c>
      <x:c r="P58" s="20" t="str">
        <x:v>en</x:v>
      </x:c>
      <x:c r="Q58" s="20" t="str">
        <x:v>survey</x:v>
      </x:c>
      <x:c r="R58" s="20" t="str">
        <x:v>not_applicable</x:v>
      </x:c>
      <x:c r="S58" s="20" t="str">
        <x:v>background</x:v>
      </x:c>
      <x:c r="T58" s="20" t="str">
        <x:v>doi_structurally_verified_from_source</x:v>
      </x:c>
      <x:c r="U58" s="20" t="str">
        <x:v>manual_seed</x:v>
      </x:c>
      <x:c r="V58" s="20" t="str"/>
    </x:row>
    <x:row r="59">
      <x:c r="A59" s="20" t="str">
        <x:v>manakul2023_selfcheckgpt_zero_resource</x:v>
      </x:c>
      <x:c r="B59" s="20" t="str">
        <x:v>inproceedings</x:v>
      </x:c>
      <x:c r="C59" s="20" t="str">
        <x:v>Manakul, Potsawee and Liusie, Adian and Gales, Mark J. F.</x:v>
      </x:c>
      <x:c r="D59" s="20" t="str">
        <x:v>2023</x:v>
      </x:c>
      <x:c r="E59" s="20" t="str">
        <x:v>SelfCheckGPT: Zero-Resource Black-Box Hallucination Detection for Generative Large Language Models</x:v>
      </x:c>
      <x:c r="F59" s="20" t="str">
        <x:v>Proceedings of the 2023 Conference on Empirical Methods in Natural Language Processing</x:v>
      </x:c>
      <x:c r="G59" s="20" t="str">
        <x:v>10.18653/v1/2023.emnlp-main.557</x:v>
      </x:c>
      <x:c r="H59" s="20" t="str">
        <x:v>https://aclanthology.org/2023.emnlp-main.557/</x:v>
      </x:c>
      <x:c r="I59" s="20" t="str"/>
      <x:c r="J59" s="20" t="str"/>
      <x:c r="K59" s="20" t="str">
        <x:v>2023.emnlp-main.557</x:v>
      </x:c>
      <x:c r="L59" s="20" t="str">
        <x:v>04_Factuality_Methods</x:v>
      </x:c>
      <x:c r="M59" s="20" t="str">
        <x:v>04_Factuality_Methods</x:v>
      </x:c>
      <x:c r="N59" s="20" t="str">
        <x:v>factuality;hallucination;llm</x:v>
      </x:c>
      <x:c r="O59" s="20" t="str">
        <x:v>hallucination-detection</x:v>
      </x:c>
      <x:c r="P59" s="20" t="str">
        <x:v>en</x:v>
      </x:c>
      <x:c r="Q59" s="20" t="str">
        <x:v>sampling_consistency</x:v>
      </x:c>
      <x:c r="R59" s="20" t="str">
        <x:v>not_applicable</x:v>
      </x:c>
      <x:c r="S59" s="20" t="str">
        <x:v>supporting</x:v>
      </x:c>
      <x:c r="T59" s="20" t="str">
        <x:v>doi_structurally_verified_from_source</x:v>
      </x:c>
      <x:c r="U59" s="20" t="str">
        <x:v>manual_seed</x:v>
      </x:c>
      <x:c r="V59" s="20" t="str"/>
    </x:row>
    <x:row r="60">
      <x:c r="A60" s="20" t="str">
        <x:v>li2023_halueval_hallucination_evaluation</x:v>
      </x:c>
      <x:c r="B60" s="20" t="str">
        <x:v>inproceedings</x:v>
      </x:c>
      <x:c r="C60" s="20" t="str">
        <x:v>Li, Junyi and Cheng, Xiaoxue and Zhao, Wayne Xin and Nie, Jian-Yun and Wen, Ji-Rong</x:v>
      </x:c>
      <x:c r="D60" s="20" t="str">
        <x:v>2023</x:v>
      </x:c>
      <x:c r="E60" s="20" t="str">
        <x:v>HaluEval: A Large-Scale Hallucination Evaluation Benchmark for Large Language Models</x:v>
      </x:c>
      <x:c r="F60" s="20" t="str">
        <x:v>Proceedings of the 2023 Conference on Empirical Methods in Natural Language Processing</x:v>
      </x:c>
      <x:c r="G60" s="20" t="str">
        <x:v>10.18653/v1/2023.emnlp-main.397</x:v>
      </x:c>
      <x:c r="H60" s="20" t="str">
        <x:v>https://aclanthology.org/2023.emnlp-main.397/</x:v>
      </x:c>
      <x:c r="I60" s="20" t="str"/>
      <x:c r="J60" s="20" t="str"/>
      <x:c r="K60" s="20" t="str">
        <x:v>2023.emnlp-main.397</x:v>
      </x:c>
      <x:c r="L60" s="20" t="str">
        <x:v>04_Factuality_Methods</x:v>
      </x:c>
      <x:c r="M60" s="20" t="str">
        <x:v>04_Factuality_Methods</x:v>
      </x:c>
      <x:c r="N60" s="20" t="str">
        <x:v>benchmark;hallucination;llm</x:v>
      </x:c>
      <x:c r="O60" s="20" t="str">
        <x:v>evaluation</x:v>
      </x:c>
      <x:c r="P60" s="20" t="str">
        <x:v>en</x:v>
      </x:c>
      <x:c r="Q60" s="20" t="str">
        <x:v>benchmark</x:v>
      </x:c>
      <x:c r="R60" s="20" t="str">
        <x:v>not_applicable</x:v>
      </x:c>
      <x:c r="S60" s="20" t="str">
        <x:v>supporting</x:v>
      </x:c>
      <x:c r="T60" s="20" t="str">
        <x:v>doi_structurally_verified_from_source</x:v>
      </x:c>
      <x:c r="U60" s="20" t="str">
        <x:v>manual_seed</x:v>
      </x:c>
      <x:c r="V60" s="20" t="str"/>
    </x:row>
    <x:row r="61">
      <x:c r="A61" s="20" t="str">
        <x:v>chen2024_hallucination_detection_robustly</x:v>
      </x:c>
      <x:c r="B61" s="20" t="str">
        <x:v>inproceedings</x:v>
      </x:c>
      <x:c r="C61" s="20" t="str">
        <x:v>Chen, Yuyan and Fu, Qiang and Yuan, Yichen and Wen, Zhiwei and Fan, Guoxin and Liu, Dayiheng and Zhang, Dongmei and Li, Zhixu and Xiao, Yanghua</x:v>
      </x:c>
      <x:c r="D61" s="20" t="str">
        <x:v>2024</x:v>
      </x:c>
      <x:c r="E61" s="20" t="str">
        <x:v>Hallucination Detection: Robustly Discerning Reliable Answers in Large Language Models</x:v>
      </x:c>
      <x:c r="F61" s="20" t="str">
        <x:v>Proceedings of CIKM 2024</x:v>
      </x:c>
      <x:c r="G61" s="20" t="str">
        <x:v>10.1145/3627673.3679910</x:v>
      </x:c>
      <x:c r="H61" s="20" t="str">
        <x:v>https://doi.org/10.1145/3627673.3679910</x:v>
      </x:c>
      <x:c r="I61" s="20" t="str"/>
      <x:c r="J61" s="20" t="str"/>
      <x:c r="K61" s="20" t="str"/>
      <x:c r="L61" s="20" t="str">
        <x:v>04_Factuality_Methods</x:v>
      </x:c>
      <x:c r="M61" s="20" t="str">
        <x:v>04_Factuality_Methods</x:v>
      </x:c>
      <x:c r="N61" s="20" t="str">
        <x:v>evaluation;hallucination;llm</x:v>
      </x:c>
      <x:c r="O61" s="20" t="str">
        <x:v>hallucination-detection</x:v>
      </x:c>
      <x:c r="P61" s="20" t="str">
        <x:v>en</x:v>
      </x:c>
      <x:c r="Q61" s="20" t="str">
        <x:v>classifier</x:v>
      </x:c>
      <x:c r="R61" s="20" t="str">
        <x:v>not_applicable</x:v>
      </x:c>
      <x:c r="S61" s="20" t="str">
        <x:v>supporting</x:v>
      </x:c>
      <x:c r="T61" s="20" t="str">
        <x:v>doi_structurally_verified_from_source</x:v>
      </x:c>
      <x:c r="U61" s="20" t="str">
        <x:v>manual_seed</x:v>
      </x:c>
      <x:c r="V61" s="20" t="str"/>
    </x:row>
    <x:row r="62">
      <x:c r="A62" s="20" t="str">
        <x:v>tam2023_checking_facts_fact</x:v>
      </x:c>
      <x:c r="B62" s="20" t="str">
        <x:v>misc</x:v>
      </x:c>
      <x:c r="C62" s="20" t="str">
        <x:v>Tam, Zhi Rui and Laban, Philippe and Peng, Nanyun</x:v>
      </x:c>
      <x:c r="D62" s="20" t="str">
        <x:v>2023</x:v>
      </x:c>
      <x:c r="E62" s="20" t="str">
        <x:v>Checking the Facts: A Survey of Fact-Checking with Large Language Models</x:v>
      </x:c>
      <x:c r="F62" s="20" t="str">
        <x:v>arXiv preprint</x:v>
      </x:c>
      <x:c r="G62" s="20" t="str"/>
      <x:c r="H62" s="20" t="str">
        <x:v>https://arxiv.org/abs/2310.02140</x:v>
      </x:c>
      <x:c r="I62" s="20" t="str">
        <x:v>2310.02140</x:v>
      </x:c>
      <x:c r="J62" s="20" t="str"/>
      <x:c r="K62" s="20" t="str"/>
      <x:c r="L62" s="20" t="str">
        <x:v>04_Factuality_Methods</x:v>
      </x:c>
      <x:c r="M62" s="20" t="str">
        <x:v>04_Factuality_Methods</x:v>
      </x:c>
      <x:c r="N62" s="20" t="str">
        <x:v>fact-checking;factuality;llm;survey</x:v>
      </x:c>
      <x:c r="O62" s="20" t="str">
        <x:v>survey</x:v>
      </x:c>
      <x:c r="P62" s="20" t="str">
        <x:v>en</x:v>
      </x:c>
      <x:c r="Q62" s="20" t="str">
        <x:v>survey</x:v>
      </x:c>
      <x:c r="R62" s="20" t="str">
        <x:v>not_applicable</x:v>
      </x:c>
      <x:c r="S62" s="20" t="str">
        <x:v>background</x:v>
      </x:c>
      <x:c r="T62" s="20" t="str">
        <x:v>arxiv_stable_no_doi</x:v>
      </x:c>
      <x:c r="U62" s="20" t="str">
        <x:v>manual_seed</x:v>
      </x:c>
      <x:c r="V62" s="20" t="str"/>
    </x:row>
    <x:row r="63">
      <x:c r="A63" s="20" t="str">
        <x:v>huang2025_hallucination_language_principles</x:v>
      </x:c>
      <x:c r="B63" s="20" t="str">
        <x:v>article</x:v>
      </x:c>
      <x:c r="C63" s="20" t="str">
        <x:v>Huang, Lei and Yu, Weijiang and Ma, Weitao and Zhong, Weihong and Feng, Zhangyin and Wang, Haotian and Chen, Qianglong and Peng, Weihua and Feng, Xiaocheng and Qin, Bing and Liu, Ting</x:v>
      </x:c>
      <x:c r="D63" s="20" t="str">
        <x:v>2025</x:v>
      </x:c>
      <x:c r="E63" s="20" t="str">
        <x:v>A Survey on Hallucination in Large Language Models: Principles, Taxonomy, Challenges, and Open Questions</x:v>
      </x:c>
      <x:c r="F63" s="20" t="str">
        <x:v>ACM Transactions on Information Systems</x:v>
      </x:c>
      <x:c r="G63" s="20" t="str">
        <x:v>10.1145/3703155</x:v>
      </x:c>
      <x:c r="H63" s="20" t="str">
        <x:v>https://doi.org/10.1145/3703155</x:v>
      </x:c>
      <x:c r="I63" s="20" t="str"/>
      <x:c r="J63" s="20" t="str"/>
      <x:c r="K63" s="20" t="str"/>
      <x:c r="L63" s="20" t="str">
        <x:v>04_Factuality_Methods</x:v>
      </x:c>
      <x:c r="M63" s="20" t="str">
        <x:v>04_Factuality_Methods</x:v>
      </x:c>
      <x:c r="N63" s="20" t="str">
        <x:v>hallucination;llm;survey</x:v>
      </x:c>
      <x:c r="O63" s="20" t="str">
        <x:v>survey</x:v>
      </x:c>
      <x:c r="P63" s="20" t="str">
        <x:v>en</x:v>
      </x:c>
      <x:c r="Q63" s="20" t="str">
        <x:v>survey</x:v>
      </x:c>
      <x:c r="R63" s="20" t="str">
        <x:v>not_applicable</x:v>
      </x:c>
      <x:c r="S63" s="20" t="str">
        <x:v>background</x:v>
      </x:c>
      <x:c r="T63" s="20" t="str">
        <x:v>doi_structurally_verified_from_source</x:v>
      </x:c>
      <x:c r="U63" s="20" t="str">
        <x:v>manual_seed</x:v>
      </x:c>
      <x:c r="V63" s="20" t="str"/>
    </x:row>
    <x:row r="64">
      <x:c r="A64" s="20" t="str">
        <x:v>liu2024_lost_middle_how</x:v>
      </x:c>
      <x:c r="B64" s="20" t="str">
        <x:v>article</x:v>
      </x:c>
      <x:c r="C64" s="20" t="str">
        <x:v>Liu, Nelson F. and Lin, Kevin and Hewitt, John and Paranjape, Ashwin and Bevilacqua, Michele and Petroni, Fabio and Liang, Percy</x:v>
      </x:c>
      <x:c r="D64" s="20" t="str">
        <x:v>2024</x:v>
      </x:c>
      <x:c r="E64" s="20" t="str">
        <x:v>Lost in the Middle: How Language Models Use Long Contexts</x:v>
      </x:c>
      <x:c r="F64" s="20" t="str">
        <x:v>Transactions of the Association for Computational Linguistics</x:v>
      </x:c>
      <x:c r="G64" s="20" t="str">
        <x:v>10.1162/tacl_a_00638</x:v>
      </x:c>
      <x:c r="H64" s="20" t="str">
        <x:v>https://aclanthology.org/2024.tacl-1.9/</x:v>
      </x:c>
      <x:c r="I64" s="20" t="str"/>
      <x:c r="J64" s="20" t="str"/>
      <x:c r="K64" s="20" t="str"/>
      <x:c r="L64" s="20" t="str">
        <x:v>04_Factuality_Methods</x:v>
      </x:c>
      <x:c r="M64" s="20" t="str">
        <x:v>04_Factuality_Methods</x:v>
      </x:c>
      <x:c r="N64" s="20" t="str">
        <x:v>factuality;llm;long-context</x:v>
      </x:c>
      <x:c r="O64" s="20" t="str">
        <x:v>evaluation</x:v>
      </x:c>
      <x:c r="P64" s="20" t="str">
        <x:v>en</x:v>
      </x:c>
      <x:c r="Q64" s="20" t="str">
        <x:v>context</x:v>
      </x:c>
      <x:c r="R64" s="20" t="str">
        <x:v>not_applicable</x:v>
      </x:c>
      <x:c r="S64" s="20" t="str">
        <x:v>supporting</x:v>
      </x:c>
      <x:c r="T64" s="20" t="str">
        <x:v>doi_structurally_verified_from_source</x:v>
      </x:c>
      <x:c r="U64" s="20" t="str">
        <x:v>manual_seed</x:v>
      </x:c>
      <x:c r="V64" s="20" t="str"/>
    </x:row>
    <x:row r="65">
      <x:c r="A65" s="20" t="str">
        <x:v>romanov2018_lessons_natural_language</x:v>
      </x:c>
      <x:c r="B65" s="20" t="str">
        <x:v>inproceedings</x:v>
      </x:c>
      <x:c r="C65" s="20" t="str">
        <x:v>Romanov, Alexey and Shivade, Chaitanya</x:v>
      </x:c>
      <x:c r="D65" s="20" t="str">
        <x:v>2018</x:v>
      </x:c>
      <x:c r="E65" s="20" t="str">
        <x:v>Lessons from Natural Language Inference in the Clinical Domain</x:v>
      </x:c>
      <x:c r="F65" s="20" t="str">
        <x:v>Proceedings of the 2018 Conference on Empirical Methods in Natural Language Processing</x:v>
      </x:c>
      <x:c r="G65" s="20" t="str">
        <x:v>10.18653/v1/D18-1187</x:v>
      </x:c>
      <x:c r="H65" s="20" t="str">
        <x:v>https://aclanthology.org/D18-1187/</x:v>
      </x:c>
      <x:c r="I65" s="20" t="str">
        <x:v>1808.06752</x:v>
      </x:c>
      <x:c r="J65" s="20" t="str"/>
      <x:c r="K65" s="20" t="str">
        <x:v>D18-1187</x:v>
      </x:c>
      <x:c r="L65" s="20" t="str">
        <x:v>07_Medical_NLI</x:v>
      </x:c>
      <x:c r="M65" s="20" t="str">
        <x:v>07_Medical_NLI</x:v>
      </x:c>
      <x:c r="N65" s="20" t="str">
        <x:v>MedNLI;clinical;expert-validated;medical-nli</x:v>
      </x:c>
      <x:c r="O65" s="20" t="str">
        <x:v>NLI</x:v>
      </x:c>
      <x:c r="P65" s="20" t="str">
        <x:v>en</x:v>
      </x:c>
      <x:c r="Q65" s="20" t="str">
        <x:v>NLI</x:v>
      </x:c>
      <x:c r="R65" s="20" t="str">
        <x:v>not_applicable</x:v>
      </x:c>
      <x:c r="S65" s="20" t="str">
        <x:v>core</x:v>
      </x:c>
      <x:c r="T65" s="20" t="str">
        <x:v>doi_structurally_verified_from_source</x:v>
      </x:c>
      <x:c r="U65" s="20" t="str">
        <x:v>manual_seed</x:v>
      </x:c>
      <x:c r="V65" s="20" t="str"/>
    </x:row>
    <x:row r="66">
      <x:c r="A66" s="20" t="str">
        <x:v>conneau2018_xnli_evaluating_cross</x:v>
      </x:c>
      <x:c r="B66" s="20" t="str">
        <x:v>inproceedings</x:v>
      </x:c>
      <x:c r="C66" s="20" t="str">
        <x:v>Conneau, Alexis and Rinott, Ruty and Lample, Guillaume and Williams, Adina and Bowman, Samuel R. and Schwenk, Holger and Stoyanov, Veselin</x:v>
      </x:c>
      <x:c r="D66" s="20" t="str">
        <x:v>2018</x:v>
      </x:c>
      <x:c r="E66" s="20" t="str">
        <x:v>XNLI: Evaluating Cross-lingual Sentence Representations</x:v>
      </x:c>
      <x:c r="F66" s="20" t="str">
        <x:v>Proceedings of the 2018 Conference on Empirical Methods in Natural Language Processing</x:v>
      </x:c>
      <x:c r="G66" s="20" t="str">
        <x:v>10.18653/v1/D18-1269</x:v>
      </x:c>
      <x:c r="H66" s="20" t="str">
        <x:v>https://aclanthology.org/D18-1269/</x:v>
      </x:c>
      <x:c r="I66" s="20" t="str">
        <x:v>1809.05053</x:v>
      </x:c>
      <x:c r="J66" s="20" t="str"/>
      <x:c r="K66" s="20" t="str">
        <x:v>D18-1269</x:v>
      </x:c>
      <x:c r="L66" s="20" t="str">
        <x:v>07_Medical_NLI</x:v>
      </x:c>
      <x:c r="M66" s="20" t="str">
        <x:v>07_Medical_NLI</x:v>
      </x:c>
      <x:c r="N66" s="20" t="str">
        <x:v>benchmark;cross-lingual;nli</x:v>
      </x:c>
      <x:c r="O66" s="20" t="str">
        <x:v>NLI</x:v>
      </x:c>
      <x:c r="P66" s="20" t="str">
        <x:v>15 languages;not bn</x:v>
      </x:c>
      <x:c r="Q66" s="20" t="str">
        <x:v>NLI</x:v>
      </x:c>
      <x:c r="R66" s="20" t="str">
        <x:v>not_direct</x:v>
      </x:c>
      <x:c r="S66" s="20" t="str">
        <x:v>supporting</x:v>
      </x:c>
      <x:c r="T66" s="20" t="str">
        <x:v>doi_structurally_verified_from_source</x:v>
      </x:c>
      <x:c r="U66" s="20" t="str">
        <x:v>manual_seed</x:v>
      </x:c>
      <x:c r="V66" s="20" t="str"/>
    </x:row>
    <x:row r="67">
      <x:c r="A67" s="20" t="str">
        <x:v>aggarwal2022_indicxnli_evaluating_multilingual</x:v>
      </x:c>
      <x:c r="B67" s="20" t="str">
        <x:v>inproceedings</x:v>
      </x:c>
      <x:c r="C67" s="20" t="str">
        <x:v>Aggarwal, Divyanshu and Gupta, Vivek and Kunchukuttan, Anoop and Ekbal, Asif</x:v>
      </x:c>
      <x:c r="D67" s="20" t="str">
        <x:v>2022</x:v>
      </x:c>
      <x:c r="E67" s="20" t="str">
        <x:v>IndicXNLI: Evaluating Multilingual Inference for Indian Languages</x:v>
      </x:c>
      <x:c r="F67" s="20" t="str">
        <x:v>Proceedings of the 2022 Conference on Empirical Methods in Natural Language Processing</x:v>
      </x:c>
      <x:c r="G67" s="20" t="str">
        <x:v>10.18653/v1/2022.emnlp-main.755</x:v>
      </x:c>
      <x:c r="H67" s="20" t="str">
        <x:v>https://aclanthology.org/2022.emnlp-main.755/</x:v>
      </x:c>
      <x:c r="I67" s="20" t="str">
        <x:v>2204.08776</x:v>
      </x:c>
      <x:c r="J67" s="20" t="str"/>
      <x:c r="K67" s="20" t="str">
        <x:v>2022.emnlp-main.755</x:v>
      </x:c>
      <x:c r="L67" s="20" t="str">
        <x:v>07_Medical_NLI</x:v>
      </x:c>
      <x:c r="M67" s="20" t="str">
        <x:v>07_Medical_NLI</x:v>
      </x:c>
      <x:c r="N67" s="20" t="str">
        <x:v>bangla;benchmark;indic;nli</x:v>
      </x:c>
      <x:c r="O67" s="20" t="str">
        <x:v>NLI</x:v>
      </x:c>
      <x:c r="P67" s="20" t="str">
        <x:v>bn;hi;ta;te;ml;mr;gu;kn;pa;or;as</x:v>
      </x:c>
      <x:c r="Q67" s="20" t="str">
        <x:v>NLI</x:v>
      </x:c>
      <x:c r="R67" s="20" t="str">
        <x:v>direct</x:v>
      </x:c>
      <x:c r="S67" s="20" t="str">
        <x:v>core</x:v>
      </x:c>
      <x:c r="T67" s="20" t="str">
        <x:v>doi_structurally_verified_from_source</x:v>
      </x:c>
      <x:c r="U67" s="20" t="str">
        <x:v>manual_seed</x:v>
      </x:c>
      <x:c r="V67" s="20" t="str"/>
    </x:row>
    <x:row r="68">
      <x:c r="A68" s="20" t="str">
        <x:v>bowman2015_annotated_learning_natural</x:v>
      </x:c>
      <x:c r="B68" s="20" t="str">
        <x:v>inproceedings</x:v>
      </x:c>
      <x:c r="C68" s="20" t="str">
        <x:v>Bowman, Samuel R. and Angeli, Gabor and Potts, Christopher and Manning, Christopher D.</x:v>
      </x:c>
      <x:c r="D68" s="20" t="str">
        <x:v>2015</x:v>
      </x:c>
      <x:c r="E68" s="20" t="str">
        <x:v>A Large Annotated Corpus for Learning Natural Language Inference</x:v>
      </x:c>
      <x:c r="F68" s="20" t="str">
        <x:v>Proceedings of the 2015 Conference on Empirical Methods in Natural Language Processing</x:v>
      </x:c>
      <x:c r="G68" s="20" t="str">
        <x:v>10.18653/v1/D15-1075</x:v>
      </x:c>
      <x:c r="H68" s="20" t="str">
        <x:v>https://aclanthology.org/D15-1075/</x:v>
      </x:c>
      <x:c r="I68" s="20" t="str"/>
      <x:c r="J68" s="20" t="str"/>
      <x:c r="K68" s="20" t="str">
        <x:v>D15-1075</x:v>
      </x:c>
      <x:c r="L68" s="20" t="str">
        <x:v>07_Medical_NLI</x:v>
      </x:c>
      <x:c r="M68" s="20" t="str">
        <x:v>07_Medical_NLI</x:v>
      </x:c>
      <x:c r="N68" s="20" t="str">
        <x:v>SNLI;benchmark;nli</x:v>
      </x:c>
      <x:c r="O68" s="20" t="str">
        <x:v>NLI</x:v>
      </x:c>
      <x:c r="P68" s="20" t="str">
        <x:v>en</x:v>
      </x:c>
      <x:c r="Q68" s="20" t="str">
        <x:v>NLI</x:v>
      </x:c>
      <x:c r="R68" s="20" t="str">
        <x:v>not_applicable</x:v>
      </x:c>
      <x:c r="S68" s="20" t="str">
        <x:v>background</x:v>
      </x:c>
      <x:c r="T68" s="20" t="str">
        <x:v>doi_structurally_verified_from_source</x:v>
      </x:c>
      <x:c r="U68" s="20" t="str">
        <x:v>manual_seed</x:v>
      </x:c>
      <x:c r="V68" s="20" t="str"/>
    </x:row>
    <x:row r="69">
      <x:c r="A69" s="20" t="str">
        <x:v>williams2018_broad_coverage_challenge</x:v>
      </x:c>
      <x:c r="B69" s="20" t="str">
        <x:v>inproceedings</x:v>
      </x:c>
      <x:c r="C69" s="20" t="str">
        <x:v>Williams, Adina and Nangia, Nikita and Bowman, Samuel R.</x:v>
      </x:c>
      <x:c r="D69" s="20" t="str">
        <x:v>2018</x:v>
      </x:c>
      <x:c r="E69" s="20" t="str">
        <x:v>A Broad-Coverage Challenge Corpus for Sentence Understanding through Inference</x:v>
      </x:c>
      <x:c r="F69" s="20" t="str">
        <x:v>Proceedings of the 2018 Conference of the North American Chapter of the Association for Computational Linguistics</x:v>
      </x:c>
      <x:c r="G69" s="20" t="str">
        <x:v>10.18653/v1/N18-1101</x:v>
      </x:c>
      <x:c r="H69" s="20" t="str">
        <x:v>https://aclanthology.org/N18-1101/</x:v>
      </x:c>
      <x:c r="I69" s="20" t="str"/>
      <x:c r="J69" s="20" t="str"/>
      <x:c r="K69" s="20" t="str">
        <x:v>N18-1101</x:v>
      </x:c>
      <x:c r="L69" s="20" t="str">
        <x:v>07_Medical_NLI</x:v>
      </x:c>
      <x:c r="M69" s="20" t="str">
        <x:v>07_Medical_NLI</x:v>
      </x:c>
      <x:c r="N69" s="20" t="str">
        <x:v>MultiNLI;benchmark;nli</x:v>
      </x:c>
      <x:c r="O69" s="20" t="str">
        <x:v>NLI</x:v>
      </x:c>
      <x:c r="P69" s="20" t="str">
        <x:v>en</x:v>
      </x:c>
      <x:c r="Q69" s="20" t="str">
        <x:v>NLI</x:v>
      </x:c>
      <x:c r="R69" s="20" t="str">
        <x:v>not_applicable</x:v>
      </x:c>
      <x:c r="S69" s="20" t="str">
        <x:v>background</x:v>
      </x:c>
      <x:c r="T69" s="20" t="str">
        <x:v>doi_structurally_verified_from_source</x:v>
      </x:c>
      <x:c r="U69" s="20" t="str">
        <x:v>manual_seed</x:v>
      </x:c>
      <x:c r="V69" s="20" t="str"/>
    </x:row>
    <x:row r="70">
      <x:c r="A70" s="20" t="str">
        <x:v>herlihy2021_mednli_not_immune</x:v>
      </x:c>
      <x:c r="B70" s="20" t="str">
        <x:v>misc</x:v>
      </x:c>
      <x:c r="C70" s="20" t="str">
        <x:v>Herlihy, Christine and Rudinger, Rachel</x:v>
      </x:c>
      <x:c r="D70" s="20" t="str">
        <x:v>2021</x:v>
      </x:c>
      <x:c r="E70" s="20" t="str">
        <x:v>MedNLI Is Not Immune: Natural Language Inference Artifacts in the Clinical Domain</x:v>
      </x:c>
      <x:c r="F70" s="20" t="str">
        <x:v>arXiv preprint</x:v>
      </x:c>
      <x:c r="G70" s="20" t="str"/>
      <x:c r="H70" s="20" t="str">
        <x:v>https://arxiv.org/abs/2106.01491</x:v>
      </x:c>
      <x:c r="I70" s="20" t="str">
        <x:v>2106.01491</x:v>
      </x:c>
      <x:c r="J70" s="20" t="str"/>
      <x:c r="K70" s="20" t="str"/>
      <x:c r="L70" s="20" t="str">
        <x:v>07_Medical_NLI</x:v>
      </x:c>
      <x:c r="M70" s="20" t="str">
        <x:v>07_Medical_NLI</x:v>
      </x:c>
      <x:c r="N70" s="20" t="str">
        <x:v>artifacts;clinical;medical-nli</x:v>
      </x:c>
      <x:c r="O70" s="20" t="str">
        <x:v>NLI;evaluation</x:v>
      </x:c>
      <x:c r="P70" s="20" t="str">
        <x:v>en</x:v>
      </x:c>
      <x:c r="Q70" s="20" t="str">
        <x:v>NLI</x:v>
      </x:c>
      <x:c r="R70" s="20" t="str">
        <x:v>not_applicable</x:v>
      </x:c>
      <x:c r="S70" s="20" t="str">
        <x:v>supporting</x:v>
      </x:c>
      <x:c r="T70" s="20" t="str">
        <x:v>arxiv_stable_no_doi</x:v>
      </x:c>
      <x:c r="U70" s="20" t="str">
        <x:v>manual_seed</x:v>
      </x:c>
      <x:c r="V70" s="20" t="str"/>
    </x:row>
    <x:row r="71">
      <x:c r="A71" s="20" t="str">
        <x:v>oul2025_turkmednli_turkish_medical</x:v>
      </x:c>
      <x:c r="B71" s="20" t="str">
        <x:v>article</x:v>
      </x:c>
      <x:c r="C71" s="20" t="str">
        <x:v>Oğul, İbrahim Ümit and Eryiğit, Gülşen and Özgür, Arzucan</x:v>
      </x:c>
      <x:c r="D71" s="20" t="str">
        <x:v>2025</x:v>
      </x:c>
      <x:c r="E71" s="20" t="str">
        <x:v>TurkMedNLI: A Turkish Medical Natural Language Inference Dataset</x:v>
      </x:c>
      <x:c r="F71" s="20" t="str">
        <x:v>Scientific Data</x:v>
      </x:c>
      <x:c r="G71" s="20" t="str">
        <x:v>10.1038/s41597-025-04689-3</x:v>
      </x:c>
      <x:c r="H71" s="20" t="str">
        <x:v>https://pmc.ncbi.nlm.nih.gov/articles/PMC11888880/</x:v>
      </x:c>
      <x:c r="I71" s="20" t="str"/>
      <x:c r="J71" s="20" t="str"/>
      <x:c r="K71" s="20" t="str"/>
      <x:c r="L71" s="20" t="str">
        <x:v>07_Medical_NLI</x:v>
      </x:c>
      <x:c r="M71" s="20" t="str">
        <x:v>07_Medical_NLI</x:v>
      </x:c>
      <x:c r="N71" s="20" t="str">
        <x:v>dataset;low-resource;medical-nli</x:v>
      </x:c>
      <x:c r="O71" s="20" t="str">
        <x:v>NLI</x:v>
      </x:c>
      <x:c r="P71" s="20" t="str">
        <x:v>tr</x:v>
      </x:c>
      <x:c r="Q71" s="20" t="str">
        <x:v>NLI</x:v>
      </x:c>
      <x:c r="R71" s="20" t="str">
        <x:v>transferable</x:v>
      </x:c>
      <x:c r="S71" s="20" t="str">
        <x:v>supporting</x:v>
      </x:c>
      <x:c r="T71" s="20" t="str">
        <x:v>doi_structurally_verified_from_source</x:v>
      </x:c>
      <x:c r="U71" s="20" t="str">
        <x:v>manual_seed</x:v>
      </x:c>
      <x:c r="V71" s="20" t="str"/>
    </x:row>
    <x:row r="72">
      <x:c r="A72" s="20" t="str">
        <x:v>chaban2024_enhancing_medical_nli</x:v>
      </x:c>
      <x:c r="B72" s="20" t="str">
        <x:v>inproceedings</x:v>
      </x:c>
      <x:c r="C72" s="20" t="str">
        <x:v>Chaban, Oksana and Romanov, Alexey and Shivade, Chaitanya</x:v>
      </x:c>
      <x:c r="D72" s="20" t="str">
        <x:v>2024</x:v>
      </x:c>
      <x:c r="E72" s="20" t="str">
        <x:v>Enhancing Medical NLI with Integrated Domain Knowledge</x:v>
      </x:c>
      <x:c r="F72" s="20" t="str">
        <x:v>CLEF Working Notes</x:v>
      </x:c>
      <x:c r="G72" s="20" t="str"/>
      <x:c r="H72" s="20" t="str">
        <x:v>https://ceur-ws.org/Vol-3790/paper23.pdf</x:v>
      </x:c>
      <x:c r="I72" s="20" t="str"/>
      <x:c r="J72" s="20" t="str"/>
      <x:c r="K72" s="20" t="str"/>
      <x:c r="L72" s="20" t="str">
        <x:v>07_Medical_NLI</x:v>
      </x:c>
      <x:c r="M72" s="20" t="str">
        <x:v>07_Medical_NLI</x:v>
      </x:c>
      <x:c r="N72" s="20" t="str">
        <x:v>domain-knowledge;medical-nli</x:v>
      </x:c>
      <x:c r="O72" s="20" t="str">
        <x:v>NLI</x:v>
      </x:c>
      <x:c r="P72" s="20" t="str">
        <x:v>en</x:v>
      </x:c>
      <x:c r="Q72" s="20" t="str">
        <x:v>NLI</x:v>
      </x:c>
      <x:c r="R72" s="20" t="str">
        <x:v>not_applicable</x:v>
      </x:c>
      <x:c r="S72" s="20" t="str">
        <x:v>candidate</x:v>
      </x:c>
      <x:c r="T72" s="20" t="str">
        <x:v>url_stable_no_doi</x:v>
      </x:c>
      <x:c r="U72" s="20" t="str">
        <x:v>manual_seed</x:v>
      </x:c>
      <x:c r="V72" s="20" t="str"/>
    </x:row>
    <x:row r="73">
      <x:c r="A73" s="20" t="str">
        <x:v>wadden2020_fact_or_fiction</x:v>
      </x:c>
      <x:c r="B73" s="20" t="str">
        <x:v>inproceedings</x:v>
      </x:c>
      <x:c r="C73" s="20" t="str">
        <x:v>Wadden, David and Lin, Shanchuan and Lo, Kyle and Wang, Lucy Lu and van Zuylen, Madeleine and Cohan, Arman and Hajishirzi, Hannaneh</x:v>
      </x:c>
      <x:c r="D73" s="20" t="str">
        <x:v>2020</x:v>
      </x:c>
      <x:c r="E73" s="20" t="str">
        <x:v>Fact or Fiction: Verifying Scientific Claims</x:v>
      </x:c>
      <x:c r="F73" s="20" t="str">
        <x:v>Proceedings of the 2020 Conference on Empirical Methods in Natural Language Processing</x:v>
      </x:c>
      <x:c r="G73" s="20" t="str">
        <x:v>10.18653/v1/2020.emnlp-main.609</x:v>
      </x:c>
      <x:c r="H73" s="20" t="str">
        <x:v>https://aclanthology.org/2020.emnlp-main.609/</x:v>
      </x:c>
      <x:c r="I73" s="20" t="str"/>
      <x:c r="J73" s="20" t="str"/>
      <x:c r="K73" s="20" t="str">
        <x:v>2020.emnlp-main.609</x:v>
      </x:c>
      <x:c r="L73" s="20" t="str">
        <x:v>07_Medical_NLI</x:v>
      </x:c>
      <x:c r="M73" s="20" t="str">
        <x:v>07_Medical_NLI</x:v>
      </x:c>
      <x:c r="N73" s="20" t="str">
        <x:v>SciFact;fact-checking;scientific</x:v>
      </x:c>
      <x:c r="O73" s="20" t="str">
        <x:v>fact-verification</x:v>
      </x:c>
      <x:c r="P73" s="20" t="str">
        <x:v>en</x:v>
      </x:c>
      <x:c r="Q73" s="20" t="str">
        <x:v>retrieval_nli</x:v>
      </x:c>
      <x:c r="R73" s="20" t="str">
        <x:v>not_applicable</x:v>
      </x:c>
      <x:c r="S73" s="20" t="str">
        <x:v>supporting</x:v>
      </x:c>
      <x:c r="T73" s="20" t="str">
        <x:v>doi_structurally_verified_from_source</x:v>
      </x:c>
      <x:c r="U73" s="20" t="str">
        <x:v>manual_seed</x:v>
      </x:c>
      <x:c r="V73" s="20" t="str"/>
    </x:row>
    <x:row r="74">
      <x:c r="A74" s="20" t="str">
        <x:v>saakyan2021_covid_fact_fact</x:v>
      </x:c>
      <x:c r="B74" s="20" t="str">
        <x:v>inproceedings</x:v>
      </x:c>
      <x:c r="C74" s="20" t="str">
        <x:v>Saakyan, Arkadiy and Chakrabarty, Tuhin and Muresan, Smaranda</x:v>
      </x:c>
      <x:c r="D74" s="20" t="str">
        <x:v>2021</x:v>
      </x:c>
      <x:c r="E74" s="20" t="str">
        <x:v>COVID-Fact: Fact Extraction and Verification of Real-World Claims on COVID-19 Pandemic</x:v>
      </x:c>
      <x:c r="F74" s="20" t="str">
        <x:v>Proceedings of the 59th Annual Meeting of the Association for Computational Linguistics</x:v>
      </x:c>
      <x:c r="G74" s="20" t="str">
        <x:v>10.18653/v1/2021.acl-long.165</x:v>
      </x:c>
      <x:c r="H74" s="20" t="str">
        <x:v>https://aclanthology.org/2021.acl-long.165/</x:v>
      </x:c>
      <x:c r="I74" s="20" t="str"/>
      <x:c r="J74" s="20" t="str"/>
      <x:c r="K74" s="20" t="str">
        <x:v>2021.acl-long.165</x:v>
      </x:c>
      <x:c r="L74" s="20" t="str">
        <x:v>07_Medical_NLI</x:v>
      </x:c>
      <x:c r="M74" s="20" t="str">
        <x:v>07_Medical_NLI</x:v>
      </x:c>
      <x:c r="N74" s="20" t="str">
        <x:v>biomedical;covid;fact-checking</x:v>
      </x:c>
      <x:c r="O74" s="20" t="str">
        <x:v>fact-verification</x:v>
      </x:c>
      <x:c r="P74" s="20" t="str">
        <x:v>en</x:v>
      </x:c>
      <x:c r="Q74" s="20" t="str">
        <x:v>retrieval_nli</x:v>
      </x:c>
      <x:c r="R74" s="20" t="str">
        <x:v>not_applicable</x:v>
      </x:c>
      <x:c r="S74" s="20" t="str">
        <x:v>supporting</x:v>
      </x:c>
      <x:c r="T74" s="20" t="str">
        <x:v>doi_structurally_verified_from_source</x:v>
      </x:c>
      <x:c r="U74" s="20" t="str">
        <x:v>manual_seed</x:v>
      </x:c>
      <x:c r="V74" s="20" t="str"/>
    </x:row>
    <x:row r="75">
      <x:c r="A75" s="20" t="str">
        <x:v>kotonya2020_explainable_fact_checking</x:v>
      </x:c>
      <x:c r="B75" s="20" t="str">
        <x:v>inproceedings</x:v>
      </x:c>
      <x:c r="C75" s="20" t="str">
        <x:v>Kotonya, Neema and Toni, Francesca</x:v>
      </x:c>
      <x:c r="D75" s="20" t="str">
        <x:v>2020</x:v>
      </x:c>
      <x:c r="E75" s="20" t="str">
        <x:v>Explainable Automated Fact-Checking for Public Health Claims</x:v>
      </x:c>
      <x:c r="F75" s="20" t="str">
        <x:v>Proceedings of the 2020 Conference on Empirical Methods in Natural Language Processing</x:v>
      </x:c>
      <x:c r="G75" s="20" t="str">
        <x:v>10.18653/v1/2020.emnlp-main.623</x:v>
      </x:c>
      <x:c r="H75" s="20" t="str">
        <x:v>https://aclanthology.org/2020.emnlp-main.623/</x:v>
      </x:c>
      <x:c r="I75" s="20" t="str"/>
      <x:c r="J75" s="20" t="str"/>
      <x:c r="K75" s="20" t="str">
        <x:v>2020.emnlp-main.623</x:v>
      </x:c>
      <x:c r="L75" s="20" t="str">
        <x:v>07_Medical_NLI</x:v>
      </x:c>
      <x:c r="M75" s="20" t="str">
        <x:v>07_Medical_NLI</x:v>
      </x:c>
      <x:c r="N75" s="20" t="str">
        <x:v>explainability;fact-checking;health</x:v>
      </x:c>
      <x:c r="O75" s="20" t="str">
        <x:v>fact-verification</x:v>
      </x:c>
      <x:c r="P75" s="20" t="str">
        <x:v>en</x:v>
      </x:c>
      <x:c r="Q75" s="20" t="str">
        <x:v>retrieval_nli</x:v>
      </x:c>
      <x:c r="R75" s="20" t="str">
        <x:v>not_applicable</x:v>
      </x:c>
      <x:c r="S75" s="20" t="str">
        <x:v>supporting</x:v>
      </x:c>
      <x:c r="T75" s="20" t="str">
        <x:v>doi_structurally_verified_from_source</x:v>
      </x:c>
      <x:c r="U75" s="20" t="str">
        <x:v>manual_seed</x:v>
      </x:c>
      <x:c r="V75" s="20" t="str"/>
    </x:row>
    <x:row r="76">
      <x:c r="A76" s="20" t="str">
        <x:v>thorne2018_fever_fact_extraction</x:v>
      </x:c>
      <x:c r="B76" s="20" t="str">
        <x:v>inproceedings</x:v>
      </x:c>
      <x:c r="C76" s="20" t="str">
        <x:v>Thorne, James and Vlachos, Andreas and Christodoulopoulos, Christos and Mittal, Arpit</x:v>
      </x:c>
      <x:c r="D76" s="20" t="str">
        <x:v>2018</x:v>
      </x:c>
      <x:c r="E76" s="20" t="str">
        <x:v>FEVER: A Large-scale Dataset for Fact Extraction and VERification</x:v>
      </x:c>
      <x:c r="F76" s="20" t="str">
        <x:v>Proceedings of the 2018 Conference of the North American Chapter of the Association for Computational Linguistics</x:v>
      </x:c>
      <x:c r="G76" s="20" t="str">
        <x:v>10.18653/v1/N18-1074</x:v>
      </x:c>
      <x:c r="H76" s="20" t="str">
        <x:v>https://aclanthology.org/N18-1074/</x:v>
      </x:c>
      <x:c r="I76" s="20" t="str"/>
      <x:c r="J76" s="20" t="str"/>
      <x:c r="K76" s="20" t="str">
        <x:v>N18-1074</x:v>
      </x:c>
      <x:c r="L76" s="20" t="str">
        <x:v>07_Medical_NLI</x:v>
      </x:c>
      <x:c r="M76" s="20" t="str">
        <x:v>07_Medical_NLI</x:v>
      </x:c>
      <x:c r="N76" s="20" t="str">
        <x:v>benchmark;fact-checking</x:v>
      </x:c>
      <x:c r="O76" s="20" t="str">
        <x:v>fact-verification</x:v>
      </x:c>
      <x:c r="P76" s="20" t="str">
        <x:v>en</x:v>
      </x:c>
      <x:c r="Q76" s="20" t="str">
        <x:v>retrieval_nli</x:v>
      </x:c>
      <x:c r="R76" s="20" t="str">
        <x:v>not_applicable</x:v>
      </x:c>
      <x:c r="S76" s="20" t="str">
        <x:v>background</x:v>
      </x:c>
      <x:c r="T76" s="20" t="str">
        <x:v>doi_structurally_verified_from_source</x:v>
      </x:c>
      <x:c r="U76" s="20" t="str">
        <x:v>manual_seed</x:v>
      </x:c>
      <x:c r="V76" s="20" t="str"/>
    </x:row>
    <x:row r="77">
      <x:c r="A77" s="20" t="str">
        <x:v>nie2019_combining_fact_extraction</x:v>
      </x:c>
      <x:c r="B77" s="20" t="str">
        <x:v>inproceedings</x:v>
      </x:c>
      <x:c r="C77" s="20" t="str">
        <x:v>Nie, Yixin and Chen, Haonan and Bansal, Mohit</x:v>
      </x:c>
      <x:c r="D77" s="20" t="str">
        <x:v>2019</x:v>
      </x:c>
      <x:c r="E77" s="20" t="str">
        <x:v>Combining Fact Extraction and Verification with Neural Semantic Matching Networks</x:v>
      </x:c>
      <x:c r="F77" s="20" t="str">
        <x:v>Proceedings of the AAAI Conference on Artificial Intelligence</x:v>
      </x:c>
      <x:c r="G77" s="20" t="str">
        <x:v>10.1609/aaai.v33i01.33016859</x:v>
      </x:c>
      <x:c r="H77" s="20" t="str">
        <x:v>https://ojs.aaai.org/index.php/AAAI/article/view/4650</x:v>
      </x:c>
      <x:c r="I77" s="20" t="str"/>
      <x:c r="J77" s="20" t="str"/>
      <x:c r="K77" s="20" t="str"/>
      <x:c r="L77" s="20" t="str">
        <x:v>07_Medical_NLI</x:v>
      </x:c>
      <x:c r="M77" s="20" t="str">
        <x:v>07_Medical_NLI</x:v>
      </x:c>
      <x:c r="N77" s="20" t="str">
        <x:v>fact-checking;nli</x:v>
      </x:c>
      <x:c r="O77" s="20" t="str">
        <x:v>fact-verification</x:v>
      </x:c>
      <x:c r="P77" s="20" t="str">
        <x:v>en</x:v>
      </x:c>
      <x:c r="Q77" s="20" t="str">
        <x:v>retrieval_nli</x:v>
      </x:c>
      <x:c r="R77" s="20" t="str">
        <x:v>not_applicable</x:v>
      </x:c>
      <x:c r="S77" s="20" t="str">
        <x:v>background</x:v>
      </x:c>
      <x:c r="T77" s="20" t="str">
        <x:v>doi_structurally_verified_from_source</x:v>
      </x:c>
      <x:c r="U77" s="20" t="str">
        <x:v>manual_seed</x:v>
      </x:c>
      <x:c r="V77" s="20" t="str"/>
    </x:row>
    <x:row r="78">
      <x:c r="A78" s="20" t="str">
        <x:v>schuster2021_get_your_vitamin</x:v>
      </x:c>
      <x:c r="B78" s="20" t="str">
        <x:v>inproceedings</x:v>
      </x:c>
      <x:c r="C78" s="20" t="str">
        <x:v>Schuster, Tal and Fisch, Adam and Barzilay, Regina</x:v>
      </x:c>
      <x:c r="D78" s="20" t="str">
        <x:v>2021</x:v>
      </x:c>
      <x:c r="E78" s="20" t="str">
        <x:v>Get Your Vitamin C! Robust Fact Verification with Contrastive Evidence</x:v>
      </x:c>
      <x:c r="F78" s="20" t="str">
        <x:v>Proceedings of the 2021 Conference of the North American Chapter of the Association for Computational Linguistics</x:v>
      </x:c>
      <x:c r="G78" s="20" t="str">
        <x:v>10.18653/v1/2021.naacl-main.52</x:v>
      </x:c>
      <x:c r="H78" s="20" t="str">
        <x:v>https://aclanthology.org/2021.naacl-main.52/</x:v>
      </x:c>
      <x:c r="I78" s="20" t="str"/>
      <x:c r="J78" s="20" t="str"/>
      <x:c r="K78" s="20" t="str">
        <x:v>2021.naacl-main.52</x:v>
      </x:c>
      <x:c r="L78" s="20" t="str">
        <x:v>07_Medical_NLI</x:v>
      </x:c>
      <x:c r="M78" s="20" t="str">
        <x:v>07_Medical_NLI</x:v>
      </x:c>
      <x:c r="N78" s="20" t="str">
        <x:v>fact-checking;robustness</x:v>
      </x:c>
      <x:c r="O78" s="20" t="str">
        <x:v>fact-verification</x:v>
      </x:c>
      <x:c r="P78" s="20" t="str">
        <x:v>en</x:v>
      </x:c>
      <x:c r="Q78" s="20" t="str">
        <x:v>retrieval_nli</x:v>
      </x:c>
      <x:c r="R78" s="20" t="str">
        <x:v>not_applicable</x:v>
      </x:c>
      <x:c r="S78" s="20" t="str">
        <x:v>background</x:v>
      </x:c>
      <x:c r="T78" s="20" t="str">
        <x:v>doi_structurally_verified_from_source</x:v>
      </x:c>
      <x:c r="U78" s="20" t="str">
        <x:v>manual_seed</x:v>
      </x:c>
      <x:c r="V78" s="20" t="str"/>
    </x:row>
    <x:row r="79">
      <x:c r="A79" s="20" t="str">
        <x:v>zetsu2024_edit_constrained_decoding</x:v>
      </x:c>
      <x:c r="B79" s="20" t="str">
        <x:v>inproceedings</x:v>
      </x:c>
      <x:c r="C79" s="20" t="str">
        <x:v>Zetsu, Masaru and Kajiwara, Tomoyuki and Komachi, Mamoru</x:v>
      </x:c>
      <x:c r="D79" s="20" t="str">
        <x:v>2024</x:v>
      </x:c>
      <x:c r="E79" s="20" t="str">
        <x:v>Edit-Constrained Decoding for Sentence Simplification</x:v>
      </x:c>
      <x:c r="F79" s="20" t="str">
        <x:v>Findings of the Association for Computational Linguistics: EMNLP 2024</x:v>
      </x:c>
      <x:c r="G79" s="20" t="str">
        <x:v>10.18653/v1/2024.findings-emnlp.419</x:v>
      </x:c>
      <x:c r="H79" s="20" t="str">
        <x:v>https://aclanthology.org/2024.findings-emnlp.419/</x:v>
      </x:c>
      <x:c r="I79" s="20" t="str"/>
      <x:c r="J79" s="20" t="str"/>
      <x:c r="K79" s="20" t="str">
        <x:v>2024.findings-emnlp.419</x:v>
      </x:c>
      <x:c r="L79" s="20" t="str">
        <x:v>05_Constrained_Decoding</x:v>
      </x:c>
      <x:c r="M79" s="20" t="str">
        <x:v>05_Constrained_Decoding</x:v>
      </x:c>
      <x:c r="N79" s="20" t="str">
        <x:v>constrained-decoding;lexical;text-simplification</x:v>
      </x:c>
      <x:c r="O79" s="20" t="str">
        <x:v>decoding;simplification</x:v>
      </x:c>
      <x:c r="P79" s="20" t="str">
        <x:v>en;ja</x:v>
      </x:c>
      <x:c r="Q79" s="20" t="str">
        <x:v>lexical_constraint</x:v>
      </x:c>
      <x:c r="R79" s="20" t="str">
        <x:v>not_applicable</x:v>
      </x:c>
      <x:c r="S79" s="20" t="str">
        <x:v>core</x:v>
      </x:c>
      <x:c r="T79" s="20" t="str">
        <x:v>doi_structurally_verified_from_source</x:v>
      </x:c>
      <x:c r="U79" s="20" t="str">
        <x:v>manual_seed</x:v>
      </x:c>
      <x:c r="V79" s="20" t="str"/>
    </x:row>
    <x:row r="80">
      <x:c r="A80" s="20" t="str">
        <x:v>hokamp2017_lexically_constrained_decoding</x:v>
      </x:c>
      <x:c r="B80" s="20" t="str">
        <x:v>inproceedings</x:v>
      </x:c>
      <x:c r="C80" s="20" t="str">
        <x:v>Hokamp, Chris and Liu, Qun</x:v>
      </x:c>
      <x:c r="D80" s="20" t="str">
        <x:v>2017</x:v>
      </x:c>
      <x:c r="E80" s="20" t="str">
        <x:v>Lexically Constrained Decoding for Sequence Generation Using Grid Beam Search</x:v>
      </x:c>
      <x:c r="F80" s="20" t="str">
        <x:v>Proceedings of the 55th Annual Meeting of the Association for Computational Linguistics</x:v>
      </x:c>
      <x:c r="G80" s="20" t="str">
        <x:v>10.18653/v1/P17-1141</x:v>
      </x:c>
      <x:c r="H80" s="20" t="str">
        <x:v>https://aclanthology.org/P17-1141/</x:v>
      </x:c>
      <x:c r="I80" s="20" t="str"/>
      <x:c r="J80" s="20" t="str"/>
      <x:c r="K80" s="20" t="str">
        <x:v>P17-1141</x:v>
      </x:c>
      <x:c r="L80" s="20" t="str">
        <x:v>05_Constrained_Decoding</x:v>
      </x:c>
      <x:c r="M80" s="20" t="str">
        <x:v>05_Constrained_Decoding</x:v>
      </x:c>
      <x:c r="N80" s="20" t="str">
        <x:v>constrained-decoding;machine-translation</x:v>
      </x:c>
      <x:c r="O80" s="20" t="str">
        <x:v>decoding</x:v>
      </x:c>
      <x:c r="P80" s="20" t="str">
        <x:v>multilingual</x:v>
      </x:c>
      <x:c r="Q80" s="20" t="str">
        <x:v>lexical_constraint</x:v>
      </x:c>
      <x:c r="R80" s="20" t="str">
        <x:v>not_applicable</x:v>
      </x:c>
      <x:c r="S80" s="20" t="str">
        <x:v>background</x:v>
      </x:c>
      <x:c r="T80" s="20" t="str">
        <x:v>doi_structurally_verified_from_source</x:v>
      </x:c>
      <x:c r="U80" s="20" t="str">
        <x:v>manual_seed</x:v>
      </x:c>
      <x:c r="V80" s="20" t="str"/>
    </x:row>
    <x:row r="81">
      <x:c r="A81" s="20" t="str">
        <x:v>post2018_fast_lexically_constrained</x:v>
      </x:c>
      <x:c r="B81" s="20" t="str">
        <x:v>inproceedings</x:v>
      </x:c>
      <x:c r="C81" s="20" t="str">
        <x:v>Post, Matt and Vilar, David</x:v>
      </x:c>
      <x:c r="D81" s="20" t="str">
        <x:v>2018</x:v>
      </x:c>
      <x:c r="E81" s="20" t="str">
        <x:v>Fast Lexically Constrained Decoding with Dynamic Beam Allocation for Neural Machine Translation</x:v>
      </x:c>
      <x:c r="F81" s="20" t="str">
        <x:v>Proceedings of NAACL-HLT 2018</x:v>
      </x:c>
      <x:c r="G81" s="20" t="str">
        <x:v>10.18653/v1/N18-1119</x:v>
      </x:c>
      <x:c r="H81" s="20" t="str">
        <x:v>https://aclanthology.org/N18-1119/</x:v>
      </x:c>
      <x:c r="I81" s="20" t="str"/>
      <x:c r="J81" s="20" t="str"/>
      <x:c r="K81" s="20" t="str">
        <x:v>N18-1119</x:v>
      </x:c>
      <x:c r="L81" s="20" t="str">
        <x:v>05_Constrained_Decoding</x:v>
      </x:c>
      <x:c r="M81" s="20" t="str">
        <x:v>05_Constrained_Decoding</x:v>
      </x:c>
      <x:c r="N81" s="20" t="str">
        <x:v>constrained-decoding;machine-translation</x:v>
      </x:c>
      <x:c r="O81" s="20" t="str">
        <x:v>decoding</x:v>
      </x:c>
      <x:c r="P81" s="20" t="str">
        <x:v>multilingual</x:v>
      </x:c>
      <x:c r="Q81" s="20" t="str">
        <x:v>lexical_constraint</x:v>
      </x:c>
      <x:c r="R81" s="20" t="str">
        <x:v>not_applicable</x:v>
      </x:c>
      <x:c r="S81" s="20" t="str">
        <x:v>background</x:v>
      </x:c>
      <x:c r="T81" s="20" t="str">
        <x:v>doi_structurally_verified_from_source</x:v>
      </x:c>
      <x:c r="U81" s="20" t="str">
        <x:v>manual_seed</x:v>
      </x:c>
      <x:c r="V81" s="20" t="str"/>
    </x:row>
    <x:row r="82">
      <x:c r="A82" s="20" t="str">
        <x:v>anderson2017_guided_open_vocabulary</x:v>
      </x:c>
      <x:c r="B82" s="20" t="str">
        <x:v>inproceedings</x:v>
      </x:c>
      <x:c r="C82" s="20" t="str">
        <x:v>Anderson, Peter and Fernando, Basura and Johnson, Mark and Gould, Stephen</x:v>
      </x:c>
      <x:c r="D82" s="20" t="str">
        <x:v>2017</x:v>
      </x:c>
      <x:c r="E82" s="20" t="str">
        <x:v>Guided Open Vocabulary Image Captioning with Constrained Beam Search</x:v>
      </x:c>
      <x:c r="F82" s="20" t="str">
        <x:v>Proceedings of the 2017 Conference on Empirical Methods in Natural Language Processing</x:v>
      </x:c>
      <x:c r="G82" s="20" t="str">
        <x:v>10.18653/v1/D17-1098</x:v>
      </x:c>
      <x:c r="H82" s="20" t="str">
        <x:v>https://aclanthology.org/D17-1098/</x:v>
      </x:c>
      <x:c r="I82" s="20" t="str"/>
      <x:c r="J82" s="20" t="str"/>
      <x:c r="K82" s="20" t="str">
        <x:v>D17-1098</x:v>
      </x:c>
      <x:c r="L82" s="20" t="str">
        <x:v>05_Constrained_Decoding</x:v>
      </x:c>
      <x:c r="M82" s="20" t="str">
        <x:v>05_Constrained_Decoding</x:v>
      </x:c>
      <x:c r="N82" s="20" t="str">
        <x:v>beam-search;constrained-decoding</x:v>
      </x:c>
      <x:c r="O82" s="20" t="str">
        <x:v>decoding</x:v>
      </x:c>
      <x:c r="P82" s="20" t="str">
        <x:v>en</x:v>
      </x:c>
      <x:c r="Q82" s="20" t="str">
        <x:v>lexical_constraint</x:v>
      </x:c>
      <x:c r="R82" s="20" t="str">
        <x:v>not_applicable</x:v>
      </x:c>
      <x:c r="S82" s="20" t="str">
        <x:v>background</x:v>
      </x:c>
      <x:c r="T82" s="20" t="str">
        <x:v>doi_structurally_verified_from_source</x:v>
      </x:c>
      <x:c r="U82" s="20" t="str">
        <x:v>manual_seed</x:v>
      </x:c>
      <x:c r="V82" s="20" t="str"/>
    </x:row>
    <x:row r="83">
      <x:c r="A83" s="20" t="str">
        <x:v>lu2021_neurologic_decoding_un</x:v>
      </x:c>
      <x:c r="B83" s="20" t="str">
        <x:v>inproceedings</x:v>
      </x:c>
      <x:c r="C83" s="20" t="str">
        <x:v>Lu, Ximing and Welleck, Sean and West, Peter and Jiang, Liwei and Kasai, Jungo and Khashabi, Daniel and Bras, Ronan Le and Qin, Lianhui and Yu, Youngjae and Zellers, Rowan and Smith, Noah A. and Choi, Yejin</x:v>
      </x:c>
      <x:c r="D83" s="20" t="str">
        <x:v>2021</x:v>
      </x:c>
      <x:c r="E83" s="20" t="str">
        <x:v>Neurologic Decoding: (Un)supervised Neural Text Generation with Predicate Logic Constraints</x:v>
      </x:c>
      <x:c r="F83" s="20" t="str">
        <x:v>Proceedings of the 2021 Conference of the North American Chapter of the Association for Computational Linguistics</x:v>
      </x:c>
      <x:c r="G83" s="20" t="str">
        <x:v>10.18653/v1/2021.naacl-main.339</x:v>
      </x:c>
      <x:c r="H83" s="20" t="str">
        <x:v>https://aclanthology.org/2021.naacl-main.339/</x:v>
      </x:c>
      <x:c r="I83" s="20" t="str"/>
      <x:c r="J83" s="20" t="str"/>
      <x:c r="K83" s="20" t="str">
        <x:v>2021.naacl-main.339</x:v>
      </x:c>
      <x:c r="L83" s="20" t="str">
        <x:v>05_Constrained_Decoding</x:v>
      </x:c>
      <x:c r="M83" s="20" t="str">
        <x:v>05_Constrained_Decoding</x:v>
      </x:c>
      <x:c r="N83" s="20" t="str">
        <x:v>constrained-decoding;factuality;logic</x:v>
      </x:c>
      <x:c r="O83" s="20" t="str">
        <x:v>decoding</x:v>
      </x:c>
      <x:c r="P83" s="20" t="str">
        <x:v>en</x:v>
      </x:c>
      <x:c r="Q83" s="20" t="str">
        <x:v>logic_constraint</x:v>
      </x:c>
      <x:c r="R83" s="20" t="str">
        <x:v>not_applicable</x:v>
      </x:c>
      <x:c r="S83" s="20" t="str">
        <x:v>supporting</x:v>
      </x:c>
      <x:c r="T83" s="20" t="str">
        <x:v>doi_structurally_verified_from_source</x:v>
      </x:c>
      <x:c r="U83" s="20" t="str">
        <x:v>manual_seed</x:v>
      </x:c>
      <x:c r="V83" s="20" t="str"/>
    </x:row>
    <x:row r="84">
      <x:c r="A84" s="20" t="str">
        <x:v>welleck2020_neural_text_generation</x:v>
      </x:c>
      <x:c r="B84" s="20" t="str">
        <x:v>inproceedings</x:v>
      </x:c>
      <x:c r="C84" s="20" t="str">
        <x:v>Welleck, Sean and Kulikov, Ilia and Kim, Jaedeok and Pang, Richard Yuanzhe and Cho, Kyunghyun</x:v>
      </x:c>
      <x:c r="D84" s="20" t="str">
        <x:v>2020</x:v>
      </x:c>
      <x:c r="E84" s="20" t="str">
        <x:v>Neural Text Generation with Unlikelihood Training</x:v>
      </x:c>
      <x:c r="F84" s="20" t="str">
        <x:v>International Conference on Learning Representations</x:v>
      </x:c>
      <x:c r="G84" s="20" t="str"/>
      <x:c r="H84" s="20" t="str">
        <x:v>https://openreview.net/forum?id=SJeYe0NtvH</x:v>
      </x:c>
      <x:c r="I84" s="20" t="str"/>
      <x:c r="J84" s="20" t="str"/>
      <x:c r="K84" s="20" t="str"/>
      <x:c r="L84" s="20" t="str">
        <x:v>05_Constrained_Decoding</x:v>
      </x:c>
      <x:c r="M84" s="20" t="str">
        <x:v>05_Constrained_Decoding</x:v>
      </x:c>
      <x:c r="N84" s="20" t="str">
        <x:v>decoding;generation;unlikelihood</x:v>
      </x:c>
      <x:c r="O84" s="20" t="str">
        <x:v>training;decoding</x:v>
      </x:c>
      <x:c r="P84" s="20" t="str">
        <x:v>en</x:v>
      </x:c>
      <x:c r="Q84" s="20" t="str">
        <x:v>none</x:v>
      </x:c>
      <x:c r="R84" s="20" t="str">
        <x:v>not_applicable</x:v>
      </x:c>
      <x:c r="S84" s="20" t="str">
        <x:v>supporting</x:v>
      </x:c>
      <x:c r="T84" s="20" t="str">
        <x:v>url_stable_no_doi</x:v>
      </x:c>
      <x:c r="U84" s="20" t="str">
        <x:v>manual_seed</x:v>
      </x:c>
      <x:c r="V84" s="20" t="str"/>
    </x:row>
    <x:row r="85">
      <x:c r="A85" s="20" t="str">
        <x:v>pascual2021_plug_play_controlled</x:v>
      </x:c>
      <x:c r="B85" s="20" t="str">
        <x:v>inproceedings</x:v>
      </x:c>
      <x:c r="C85" s="20" t="str">
        <x:v>Pascual, Damian and Egressy, Beni and Meister, Clara and Cotterell, Ryan and Wattenhofer, Roger</x:v>
      </x:c>
      <x:c r="D85" s="20" t="str">
        <x:v>2021</x:v>
      </x:c>
      <x:c r="E85" s="20" t="str">
        <x:v>A Plug-and-Play Method for Controlled Text Generation</x:v>
      </x:c>
      <x:c r="F85" s="20" t="str">
        <x:v>Findings of the Association for Computational Linguistics: ACL-IJCNLP 2021</x:v>
      </x:c>
      <x:c r="G85" s="20" t="str">
        <x:v>10.18653/v1/2021.findings-acl.334</x:v>
      </x:c>
      <x:c r="H85" s="20" t="str">
        <x:v>https://aclanthology.org/2021.findings-acl.334/</x:v>
      </x:c>
      <x:c r="I85" s="20" t="str"/>
      <x:c r="J85" s="20" t="str"/>
      <x:c r="K85" s="20" t="str">
        <x:v>2021.findings-acl.334</x:v>
      </x:c>
      <x:c r="L85" s="20" t="str">
        <x:v>05_Constrained_Decoding</x:v>
      </x:c>
      <x:c r="M85" s="20" t="str">
        <x:v>05_Constrained_Decoding</x:v>
      </x:c>
      <x:c r="N85" s="20" t="str">
        <x:v>controlled-generation;decoding</x:v>
      </x:c>
      <x:c r="O85" s="20" t="str">
        <x:v>controlled-generation</x:v>
      </x:c>
      <x:c r="P85" s="20" t="str">
        <x:v>en</x:v>
      </x:c>
      <x:c r="Q85" s="20" t="str">
        <x:v>none</x:v>
      </x:c>
      <x:c r="R85" s="20" t="str">
        <x:v>not_applicable</x:v>
      </x:c>
      <x:c r="S85" s="20" t="str">
        <x:v>supporting</x:v>
      </x:c>
      <x:c r="T85" s="20" t="str">
        <x:v>doi_structurally_verified_from_source</x:v>
      </x:c>
      <x:c r="U85" s="20" t="str">
        <x:v>manual_seed</x:v>
      </x:c>
      <x:c r="V85" s="20" t="str"/>
    </x:row>
    <x:row r="86">
      <x:c r="A86" s="20" t="str">
        <x:v>dathathri2020_plug_play_language</x:v>
      </x:c>
      <x:c r="B86" s="20" t="str">
        <x:v>inproceedings</x:v>
      </x:c>
      <x:c r="C86" s="20" t="str">
        <x:v>Dathathri, Sumanth and Madotto, Andrea and Lan, Janice and Hung, Jane and Frank, Eric and Molino, Piero and Yosinski, Jason and Liu, Rosanne</x:v>
      </x:c>
      <x:c r="D86" s="20" t="str">
        <x:v>2020</x:v>
      </x:c>
      <x:c r="E86" s="20" t="str">
        <x:v>Plug and Play Language Models: A Simple Approach to Controlled Text Generation</x:v>
      </x:c>
      <x:c r="F86" s="20" t="str">
        <x:v>International Conference on Learning Representations</x:v>
      </x:c>
      <x:c r="G86" s="20" t="str"/>
      <x:c r="H86" s="20" t="str">
        <x:v>https://openreview.net/forum?id=H1edEyBKDS</x:v>
      </x:c>
      <x:c r="I86" s="20" t="str"/>
      <x:c r="J86" s="20" t="str"/>
      <x:c r="K86" s="20" t="str"/>
      <x:c r="L86" s="20" t="str">
        <x:v>05_Constrained_Decoding</x:v>
      </x:c>
      <x:c r="M86" s="20" t="str">
        <x:v>05_Constrained_Decoding</x:v>
      </x:c>
      <x:c r="N86" s="20" t="str">
        <x:v>controlled-generation;llm</x:v>
      </x:c>
      <x:c r="O86" s="20" t="str">
        <x:v>controlled-generation</x:v>
      </x:c>
      <x:c r="P86" s="20" t="str">
        <x:v>en</x:v>
      </x:c>
      <x:c r="Q86" s="20" t="str">
        <x:v>none</x:v>
      </x:c>
      <x:c r="R86" s="20" t="str">
        <x:v>not_applicable</x:v>
      </x:c>
      <x:c r="S86" s="20" t="str">
        <x:v>background</x:v>
      </x:c>
      <x:c r="T86" s="20" t="str">
        <x:v>url_stable_no_doi</x:v>
      </x:c>
      <x:c r="U86" s="20" t="str">
        <x:v>manual_seed</x:v>
      </x:c>
      <x:c r="V86" s="20" t="str"/>
    </x:row>
    <x:row r="87">
      <x:c r="A87" s="20" t="str">
        <x:v>krause2021_gedi_generative_discriminator</x:v>
      </x:c>
      <x:c r="B87" s="20" t="str">
        <x:v>inproceedings</x:v>
      </x:c>
      <x:c r="C87" s="20" t="str">
        <x:v>Krause, Ben and Gotmare, Akhilesh Deepak and McCann, Bryan and Keskar, Nitish Shirish and Joty, Shafiq and Socher, Richard and Rajani, Nazneen Fatema</x:v>
      </x:c>
      <x:c r="D87" s="20" t="str">
        <x:v>2021</x:v>
      </x:c>
      <x:c r="E87" s="20" t="str">
        <x:v>GeDi: Generative Discriminator Guided Sequence Generation</x:v>
      </x:c>
      <x:c r="F87" s="20" t="str">
        <x:v>Findings of the Association for Computational Linguistics: EMNLP 2021</x:v>
      </x:c>
      <x:c r="G87" s="20" t="str">
        <x:v>10.18653/v1/2021.findings-emnlp.424</x:v>
      </x:c>
      <x:c r="H87" s="20" t="str">
        <x:v>https://aclanthology.org/2021.findings-emnlp.424/</x:v>
      </x:c>
      <x:c r="I87" s="20" t="str"/>
      <x:c r="J87" s="20" t="str"/>
      <x:c r="K87" s="20" t="str">
        <x:v>2021.findings-emnlp.424</x:v>
      </x:c>
      <x:c r="L87" s="20" t="str">
        <x:v>05_Constrained_Decoding</x:v>
      </x:c>
      <x:c r="M87" s="20" t="str">
        <x:v>05_Constrained_Decoding</x:v>
      </x:c>
      <x:c r="N87" s="20" t="str">
        <x:v>controlled-generation;decoding</x:v>
      </x:c>
      <x:c r="O87" s="20" t="str">
        <x:v>controlled-generation</x:v>
      </x:c>
      <x:c r="P87" s="20" t="str">
        <x:v>en</x:v>
      </x:c>
      <x:c r="Q87" s="20" t="str">
        <x:v>none</x:v>
      </x:c>
      <x:c r="R87" s="20" t="str">
        <x:v>not_applicable</x:v>
      </x:c>
      <x:c r="S87" s="20" t="str">
        <x:v>background</x:v>
      </x:c>
      <x:c r="T87" s="20" t="str">
        <x:v>doi_structurally_verified_from_source</x:v>
      </x:c>
      <x:c r="U87" s="20" t="str">
        <x:v>manual_seed</x:v>
      </x:c>
      <x:c r="V87" s="20" t="str"/>
    </x:row>
    <x:row r="88">
      <x:c r="A88" s="20" t="str">
        <x:v>shin2020_autoprompt_eliciting_knowledge</x:v>
      </x:c>
      <x:c r="B88" s="20" t="str">
        <x:v>inproceedings</x:v>
      </x:c>
      <x:c r="C88" s="20" t="str">
        <x:v>Shin, Taylor and Razeghi, Yasaman and Logan IV, Robert L. and Wallace, Eric and Singh, Sameer</x:v>
      </x:c>
      <x:c r="D88" s="20" t="str">
        <x:v>2020</x:v>
      </x:c>
      <x:c r="E88" s="20" t="str">
        <x:v>AutoPrompt: Eliciting Knowledge from Language Models with Automatically Generated Prompts</x:v>
      </x:c>
      <x:c r="F88" s="20" t="str">
        <x:v>Proceedings of the 2020 Conference on Empirical Methods in Natural Language Processing</x:v>
      </x:c>
      <x:c r="G88" s="20" t="str">
        <x:v>10.18653/v1/2020.emnlp-main.346</x:v>
      </x:c>
      <x:c r="H88" s="20" t="str">
        <x:v>https://aclanthology.org/2020.emnlp-main.346/</x:v>
      </x:c>
      <x:c r="I88" s="20" t="str"/>
      <x:c r="J88" s="20" t="str"/>
      <x:c r="K88" s="20" t="str">
        <x:v>2020.emnlp-main.346</x:v>
      </x:c>
      <x:c r="L88" s="20" t="str">
        <x:v>05_Constrained_Decoding</x:v>
      </x:c>
      <x:c r="M88" s="20" t="str">
        <x:v>05_Constrained_Decoding</x:v>
      </x:c>
      <x:c r="N88" s="20" t="str">
        <x:v>controlled-generation;prompting</x:v>
      </x:c>
      <x:c r="O88" s="20" t="str">
        <x:v>prompting</x:v>
      </x:c>
      <x:c r="P88" s="20" t="str">
        <x:v>en</x:v>
      </x:c>
      <x:c r="Q88" s="20" t="str">
        <x:v>none</x:v>
      </x:c>
      <x:c r="R88" s="20" t="str">
        <x:v>not_applicable</x:v>
      </x:c>
      <x:c r="S88" s="20" t="str">
        <x:v>background</x:v>
      </x:c>
      <x:c r="T88" s="20" t="str">
        <x:v>doi_structurally_verified_from_source</x:v>
      </x:c>
      <x:c r="U88" s="20" t="str">
        <x:v>manual_seed</x:v>
      </x:c>
      <x:c r="V88" s="20" t="str"/>
    </x:row>
    <x:row r="89">
      <x:c r="A89" s="20" t="str">
        <x:v>hu2017_controlled_generation_text</x:v>
      </x:c>
      <x:c r="B89" s="20" t="str">
        <x:v>inproceedings</x:v>
      </x:c>
      <x:c r="C89" s="20" t="str">
        <x:v>Hu, Zhiting and Yang, Zichao and Liang, Xiaodan and Salakhutdinov, Ruslan and Xing, Eric P.</x:v>
      </x:c>
      <x:c r="D89" s="20" t="str">
        <x:v>2017</x:v>
      </x:c>
      <x:c r="E89" s="20" t="str">
        <x:v>Toward Controlled Generation of Text</x:v>
      </x:c>
      <x:c r="F89" s="20" t="str">
        <x:v>Proceedings of the 34th International Conference on Machine Learning</x:v>
      </x:c>
      <x:c r="G89" s="20" t="str"/>
      <x:c r="H89" s="20" t="str">
        <x:v>https://proceedings.mlr.press/v70/hu17e.html</x:v>
      </x:c>
      <x:c r="I89" s="20" t="str"/>
      <x:c r="J89" s="20" t="str"/>
      <x:c r="K89" s="20" t="str"/>
      <x:c r="L89" s="20" t="str">
        <x:v>05_Constrained_Decoding</x:v>
      </x:c>
      <x:c r="M89" s="20" t="str">
        <x:v>05_Constrained_Decoding</x:v>
      </x:c>
      <x:c r="N89" s="20" t="str">
        <x:v>controlled-generation</x:v>
      </x:c>
      <x:c r="O89" s="20" t="str">
        <x:v>controlled-generation</x:v>
      </x:c>
      <x:c r="P89" s="20" t="str">
        <x:v>en</x:v>
      </x:c>
      <x:c r="Q89" s="20" t="str">
        <x:v>none</x:v>
      </x:c>
      <x:c r="R89" s="20" t="str">
        <x:v>not_applicable</x:v>
      </x:c>
      <x:c r="S89" s="20" t="str">
        <x:v>background</x:v>
      </x:c>
      <x:c r="T89" s="20" t="str">
        <x:v>url_stable_no_doi</x:v>
      </x:c>
      <x:c r="U89" s="20" t="str">
        <x:v>manual_seed</x:v>
      </x:c>
      <x:c r="V89" s="20" t="str"/>
    </x:row>
    <x:row r="90">
      <x:c r="A90" s="20" t="str">
        <x:v>kumar2020_controlled_text_generation</x:v>
      </x:c>
      <x:c r="B90" s="20" t="str">
        <x:v>inproceedings</x:v>
      </x:c>
      <x:c r="C90" s="20" t="str">
        <x:v>Kumar, Sachin and Malmi, Eric and Severyn, Aliaksei and Tsvetkov, Yulia</x:v>
      </x:c>
      <x:c r="D90" s="20" t="str">
        <x:v>2020</x:v>
      </x:c>
      <x:c r="E90" s="20" t="str">
        <x:v>Controlled Text Generation as Continuous Optimization with Multiple Constraints</x:v>
      </x:c>
      <x:c r="F90" s="20" t="str">
        <x:v>Advances in Neural Information Processing Systems</x:v>
      </x:c>
      <x:c r="G90" s="20" t="str"/>
      <x:c r="H90" s="20" t="str">
        <x:v>https://proceedings.neurips.cc/paper/2020/hash/1f71e393b3809197ed66df836fe833e5-Abstract.html</x:v>
      </x:c>
      <x:c r="I90" s="20" t="str"/>
      <x:c r="J90" s="20" t="str"/>
      <x:c r="K90" s="20" t="str"/>
      <x:c r="L90" s="20" t="str">
        <x:v>05_Constrained_Decoding</x:v>
      </x:c>
      <x:c r="M90" s="20" t="str">
        <x:v>05_Constrained_Decoding</x:v>
      </x:c>
      <x:c r="N90" s="20" t="str">
        <x:v>constraints;controlled-generation</x:v>
      </x:c>
      <x:c r="O90" s="20" t="str">
        <x:v>controlled-generation</x:v>
      </x:c>
      <x:c r="P90" s="20" t="str">
        <x:v>en</x:v>
      </x:c>
      <x:c r="Q90" s="20" t="str">
        <x:v>constraint</x:v>
      </x:c>
      <x:c r="R90" s="20" t="str">
        <x:v>not_applicable</x:v>
      </x:c>
      <x:c r="S90" s="20" t="str">
        <x:v>supporting</x:v>
      </x:c>
      <x:c r="T90" s="20" t="str">
        <x:v>url_stable_no_doi</x:v>
      </x:c>
      <x:c r="U90" s="20" t="str">
        <x:v>manual_seed</x:v>
      </x:c>
      <x:c r="V90" s="20" t="str"/>
    </x:row>
    <x:row r="91">
      <x:c r="A91" s="20" t="str">
        <x:v>lewis2020_retrieval_augmented_generation</x:v>
      </x:c>
      <x:c r="B91" s="20" t="str">
        <x:v>inproceedings</x:v>
      </x:c>
      <x:c r="C91" s="20" t="str">
        <x:v>Lewis, Patrick and Perez, Ethan and Piktus, Aleksandra and Petroni, Fabio and Karpukhin, Vladimir and Goyal, Naman and Küttler, Heinrich and Lewis, Mike and Yih, Wen-tau and Rocktäschel, Tim and Riedel, Sebastian and Kiela, Douwe</x:v>
      </x:c>
      <x:c r="D91" s="20" t="str">
        <x:v>2020</x:v>
      </x:c>
      <x:c r="E91" s="20" t="str">
        <x:v>Retrieval-Augmented Generation for Knowledge-Intensive NLP Tasks</x:v>
      </x:c>
      <x:c r="F91" s="20" t="str">
        <x:v>Advances in Neural Information Processing Systems</x:v>
      </x:c>
      <x:c r="G91" s="20" t="str"/>
      <x:c r="H91" s="20" t="str">
        <x:v>https://proceedings.neurips.cc/paper/2020/hash/6b493230205f780e1bc26945df7481e5-Abstract.html</x:v>
      </x:c>
      <x:c r="I91" s="20" t="str"/>
      <x:c r="J91" s="20" t="str"/>
      <x:c r="K91" s="20" t="str"/>
      <x:c r="L91" s="20" t="str">
        <x:v>06_RAG_KG_Medical</x:v>
      </x:c>
      <x:c r="M91" s="20" t="str">
        <x:v>06_RAG_KG_Medical</x:v>
      </x:c>
      <x:c r="N91" s="20" t="str">
        <x:v>generation;rag;retrieval</x:v>
      </x:c>
      <x:c r="O91" s="20" t="str">
        <x:v>RAG</x:v>
      </x:c>
      <x:c r="P91" s="20" t="str">
        <x:v>en</x:v>
      </x:c>
      <x:c r="Q91" s="20" t="str">
        <x:v>retrieval_grounding</x:v>
      </x:c>
      <x:c r="R91" s="20" t="str">
        <x:v>not_applicable</x:v>
      </x:c>
      <x:c r="S91" s="20" t="str">
        <x:v>background</x:v>
      </x:c>
      <x:c r="T91" s="20" t="str">
        <x:v>url_stable_no_doi</x:v>
      </x:c>
      <x:c r="U91" s="20" t="str">
        <x:v>manual_seed</x:v>
      </x:c>
      <x:c r="V91" s="20" t="str"/>
    </x:row>
    <x:row r="92">
      <x:c r="A92" s="20" t="str">
        <x:v>guu2020_realm_retrieval_augmented</x:v>
      </x:c>
      <x:c r="B92" s="20" t="str">
        <x:v>inproceedings</x:v>
      </x:c>
      <x:c r="C92" s="20" t="str">
        <x:v>Guu, Kelvin and Lee, Kenton and Tung, Zora and Pasupat, Panupong and Chang, Ming-Wei</x:v>
      </x:c>
      <x:c r="D92" s="20" t="str">
        <x:v>2020</x:v>
      </x:c>
      <x:c r="E92" s="20" t="str">
        <x:v>REALM: Retrieval-Augmented Language Model Pre-Training</x:v>
      </x:c>
      <x:c r="F92" s="20" t="str">
        <x:v>Proceedings of the 37th International Conference on Machine Learning</x:v>
      </x:c>
      <x:c r="G92" s="20" t="str"/>
      <x:c r="H92" s="20" t="str">
        <x:v>https://proceedings.mlr.press/v119/guu20a.html</x:v>
      </x:c>
      <x:c r="I92" s="20" t="str"/>
      <x:c r="J92" s="20" t="str"/>
      <x:c r="K92" s="20" t="str"/>
      <x:c r="L92" s="20" t="str">
        <x:v>06_RAG_KG_Medical</x:v>
      </x:c>
      <x:c r="M92" s="20" t="str">
        <x:v>06_RAG_KG_Medical</x:v>
      </x:c>
      <x:c r="N92" s="20" t="str">
        <x:v>pretraining;rag;retrieval</x:v>
      </x:c>
      <x:c r="O92" s="20" t="str">
        <x:v>RAG</x:v>
      </x:c>
      <x:c r="P92" s="20" t="str">
        <x:v>en</x:v>
      </x:c>
      <x:c r="Q92" s="20" t="str">
        <x:v>retrieval_grounding</x:v>
      </x:c>
      <x:c r="R92" s="20" t="str">
        <x:v>not_applicable</x:v>
      </x:c>
      <x:c r="S92" s="20" t="str">
        <x:v>background</x:v>
      </x:c>
      <x:c r="T92" s="20" t="str">
        <x:v>url_stable_no_doi</x:v>
      </x:c>
      <x:c r="U92" s="20" t="str">
        <x:v>manual_seed</x:v>
      </x:c>
      <x:c r="V92" s="20" t="str"/>
    </x:row>
    <x:row r="93">
      <x:c r="A93" s="20" t="str">
        <x:v>karpukhin2020_dense_passage_retrieval</x:v>
      </x:c>
      <x:c r="B93" s="20" t="str">
        <x:v>inproceedings</x:v>
      </x:c>
      <x:c r="C93" s="20" t="str">
        <x:v>Karpukhin, Vladimir and Oguz, Barlas and Min, Sewon and Lewis, Patrick and Wu, Ledell and Edunov, Sergey and Chen, Danqi and Yih, Wen-tau</x:v>
      </x:c>
      <x:c r="D93" s="20" t="str">
        <x:v>2020</x:v>
      </x:c>
      <x:c r="E93" s="20" t="str">
        <x:v>Dense Passage Retrieval for Open-Domain Question Answering</x:v>
      </x:c>
      <x:c r="F93" s="20" t="str">
        <x:v>Proceedings of the 2020 Conference on Empirical Methods in Natural Language Processing</x:v>
      </x:c>
      <x:c r="G93" s="20" t="str">
        <x:v>10.18653/v1/2020.emnlp-main.550</x:v>
      </x:c>
      <x:c r="H93" s="20" t="str">
        <x:v>https://aclanthology.org/2020.emnlp-main.550/</x:v>
      </x:c>
      <x:c r="I93" s="20" t="str"/>
      <x:c r="J93" s="20" t="str"/>
      <x:c r="K93" s="20" t="str">
        <x:v>2020.emnlp-main.550</x:v>
      </x:c>
      <x:c r="L93" s="20" t="str">
        <x:v>06_RAG_KG_Medical</x:v>
      </x:c>
      <x:c r="M93" s="20" t="str">
        <x:v>06_RAG_KG_Medical</x:v>
      </x:c>
      <x:c r="N93" s="20" t="str">
        <x:v>rag;retrieval</x:v>
      </x:c>
      <x:c r="O93" s="20" t="str">
        <x:v>retrieval;QA</x:v>
      </x:c>
      <x:c r="P93" s="20" t="str">
        <x:v>en</x:v>
      </x:c>
      <x:c r="Q93" s="20" t="str">
        <x:v>retrieval_grounding</x:v>
      </x:c>
      <x:c r="R93" s="20" t="str">
        <x:v>not_applicable</x:v>
      </x:c>
      <x:c r="S93" s="20" t="str">
        <x:v>background</x:v>
      </x:c>
      <x:c r="T93" s="20" t="str">
        <x:v>doi_structurally_verified_from_source</x:v>
      </x:c>
      <x:c r="U93" s="20" t="str">
        <x:v>manual_seed</x:v>
      </x:c>
      <x:c r="V93" s="20" t="str"/>
    </x:row>
    <x:row r="94">
      <x:c r="A94" s="20" t="str">
        <x:v>izacard2021_leveraging_passage_retrieval</x:v>
      </x:c>
      <x:c r="B94" s="20" t="str">
        <x:v>inproceedings</x:v>
      </x:c>
      <x:c r="C94" s="20" t="str">
        <x:v>Izacard, Gautier and Grave, Edouard</x:v>
      </x:c>
      <x:c r="D94" s="20" t="str">
        <x:v>2021</x:v>
      </x:c>
      <x:c r="E94" s="20" t="str">
        <x:v>Leveraging Passage Retrieval with Generative Models for Open Domain Question Answering</x:v>
      </x:c>
      <x:c r="F94" s="20" t="str">
        <x:v>Proceedings of EACL 2021</x:v>
      </x:c>
      <x:c r="G94" s="20" t="str">
        <x:v>10.18653/v1/2021.eacl-main.74</x:v>
      </x:c>
      <x:c r="H94" s="20" t="str">
        <x:v>https://aclanthology.org/2021.eacl-main.74/</x:v>
      </x:c>
      <x:c r="I94" s="20" t="str"/>
      <x:c r="J94" s="20" t="str"/>
      <x:c r="K94" s="20" t="str">
        <x:v>2021.eacl-main.74</x:v>
      </x:c>
      <x:c r="L94" s="20" t="str">
        <x:v>06_RAG_KG_Medical</x:v>
      </x:c>
      <x:c r="M94" s="20" t="str">
        <x:v>06_RAG_KG_Medical</x:v>
      </x:c>
      <x:c r="N94" s="20" t="str">
        <x:v>FiD;rag;retrieval</x:v>
      </x:c>
      <x:c r="O94" s="20" t="str">
        <x:v>RAG;QA</x:v>
      </x:c>
      <x:c r="P94" s="20" t="str">
        <x:v>en</x:v>
      </x:c>
      <x:c r="Q94" s="20" t="str">
        <x:v>retrieval_grounding</x:v>
      </x:c>
      <x:c r="R94" s="20" t="str">
        <x:v>not_applicable</x:v>
      </x:c>
      <x:c r="S94" s="20" t="str">
        <x:v>background</x:v>
      </x:c>
      <x:c r="T94" s="20" t="str">
        <x:v>doi_structurally_verified_from_source</x:v>
      </x:c>
      <x:c r="U94" s="20" t="str">
        <x:v>manual_seed</x:v>
      </x:c>
      <x:c r="V94" s="20" t="str"/>
    </x:row>
    <x:row r="95">
      <x:c r="A95" s="20" t="str">
        <x:v>asai2024_self_rag_learning</x:v>
      </x:c>
      <x:c r="B95" s="20" t="str">
        <x:v>inproceedings</x:v>
      </x:c>
      <x:c r="C95" s="20" t="str">
        <x:v>Asai, Akari and Wu, Zeqiu and Wang, Yizhong and Sil, Avirup and Hajishirzi, Hannaneh</x:v>
      </x:c>
      <x:c r="D95" s="20" t="str">
        <x:v>2024</x:v>
      </x:c>
      <x:c r="E95" s="20" t="str">
        <x:v>Self-RAG: Learning to Retrieve, Generate, and Critique through Self-Reflection</x:v>
      </x:c>
      <x:c r="F95" s="20" t="str">
        <x:v>International Conference on Learning Representations</x:v>
      </x:c>
      <x:c r="G95" s="20" t="str"/>
      <x:c r="H95" s="20" t="str">
        <x:v>https://arxiv.org/abs/2310.11511</x:v>
      </x:c>
      <x:c r="I95" s="20" t="str">
        <x:v>2310.11511</x:v>
      </x:c>
      <x:c r="J95" s="20" t="str"/>
      <x:c r="K95" s="20" t="str"/>
      <x:c r="L95" s="20" t="str">
        <x:v>06_RAG_KG_Medical</x:v>
      </x:c>
      <x:c r="M95" s="20" t="str">
        <x:v>06_RAG_KG_Medical</x:v>
      </x:c>
      <x:c r="N95" s="20" t="str">
        <x:v>llm;rag;self-reflection</x:v>
      </x:c>
      <x:c r="O95" s="20" t="str">
        <x:v>RAG</x:v>
      </x:c>
      <x:c r="P95" s="20" t="str">
        <x:v>en</x:v>
      </x:c>
      <x:c r="Q95" s="20" t="str">
        <x:v>retrieval_grounding</x:v>
      </x:c>
      <x:c r="R95" s="20" t="str">
        <x:v>not_applicable</x:v>
      </x:c>
      <x:c r="S95" s="20" t="str">
        <x:v>supporting</x:v>
      </x:c>
      <x:c r="T95" s="20" t="str">
        <x:v>arxiv_stable_no_doi</x:v>
      </x:c>
      <x:c r="U95" s="20" t="str">
        <x:v>manual_seed</x:v>
      </x:c>
      <x:c r="V95" s="20" t="str"/>
    </x:row>
    <x:row r="96">
      <x:c r="A96" s="20" t="str">
        <x:v>gao2024_retrieval_augmented_generation</x:v>
      </x:c>
      <x:c r="B96" s="20" t="str">
        <x:v>misc</x:v>
      </x:c>
      <x:c r="C96" s="20" t="str">
        <x:v>Gao, Yunfan and Xiong, Yun and Gao, Xinyu and Jia, Kangxiang and Pan, Jinliu and Bi, Yuxi and Dai, Yi and Sun, Jiawei and Wang, Haofen</x:v>
      </x:c>
      <x:c r="D96" s="20" t="str">
        <x:v>2024</x:v>
      </x:c>
      <x:c r="E96" s="20" t="str">
        <x:v>Retrieval-Augmented Generation for Large Language Models: A Survey</x:v>
      </x:c>
      <x:c r="F96" s="20" t="str">
        <x:v>arXiv preprint</x:v>
      </x:c>
      <x:c r="G96" s="20" t="str"/>
      <x:c r="H96" s="20" t="str">
        <x:v>https://arxiv.org/abs/2312.10997</x:v>
      </x:c>
      <x:c r="I96" s="20" t="str">
        <x:v>2312.10997</x:v>
      </x:c>
      <x:c r="J96" s="20" t="str"/>
      <x:c r="K96" s="20" t="str"/>
      <x:c r="L96" s="20" t="str">
        <x:v>06_RAG_KG_Medical</x:v>
      </x:c>
      <x:c r="M96" s="20" t="str">
        <x:v>06_RAG_KG_Medical</x:v>
      </x:c>
      <x:c r="N96" s="20" t="str">
        <x:v>llm;rag;survey</x:v>
      </x:c>
      <x:c r="O96" s="20" t="str">
        <x:v>survey;RAG</x:v>
      </x:c>
      <x:c r="P96" s="20" t="str">
        <x:v>en</x:v>
      </x:c>
      <x:c r="Q96" s="20" t="str">
        <x:v>survey</x:v>
      </x:c>
      <x:c r="R96" s="20" t="str">
        <x:v>not_applicable</x:v>
      </x:c>
      <x:c r="S96" s="20" t="str">
        <x:v>background</x:v>
      </x:c>
      <x:c r="T96" s="20" t="str">
        <x:v>arxiv_stable_no_doi</x:v>
      </x:c>
      <x:c r="U96" s="20" t="str">
        <x:v>manual_seed</x:v>
      </x:c>
      <x:c r="V96" s="20" t="str"/>
    </x:row>
    <x:row r="97">
      <x:c r="A97" s="20" t="str">
        <x:v>edge2024_local_global_graph</x:v>
      </x:c>
      <x:c r="B97" s="20" t="str">
        <x:v>misc</x:v>
      </x:c>
      <x:c r="C97" s="20" t="str">
        <x:v>Edge, Darren and Trinh, Ha and Cheng, Newman and Bradley, Joshua and Chao, Alex and Mody, Apurva and Truitt, Steven and Larson, Jonathan</x:v>
      </x:c>
      <x:c r="D97" s="20" t="str">
        <x:v>2024</x:v>
      </x:c>
      <x:c r="E97" s="20" t="str">
        <x:v>From Local to Global: A Graph RAG Approach to Query-Focused Summarization</x:v>
      </x:c>
      <x:c r="F97" s="20" t="str">
        <x:v>arXiv preprint</x:v>
      </x:c>
      <x:c r="G97" s="20" t="str"/>
      <x:c r="H97" s="20" t="str">
        <x:v>https://arxiv.org/abs/2404.16130</x:v>
      </x:c>
      <x:c r="I97" s="20" t="str">
        <x:v>2404.16130</x:v>
      </x:c>
      <x:c r="J97" s="20" t="str"/>
      <x:c r="K97" s="20" t="str"/>
      <x:c r="L97" s="20" t="str">
        <x:v>06_RAG_KG_Medical</x:v>
      </x:c>
      <x:c r="M97" s="20" t="str">
        <x:v>06_RAG_KG_Medical</x:v>
      </x:c>
      <x:c r="N97" s="20" t="str">
        <x:v>graph;rag;summarization</x:v>
      </x:c>
      <x:c r="O97" s="20" t="str">
        <x:v>GraphRAG;summarization</x:v>
      </x:c>
      <x:c r="P97" s="20" t="str">
        <x:v>en</x:v>
      </x:c>
      <x:c r="Q97" s="20" t="str">
        <x:v>graph_grounding</x:v>
      </x:c>
      <x:c r="R97" s="20" t="str">
        <x:v>not_applicable</x:v>
      </x:c>
      <x:c r="S97" s="20" t="str">
        <x:v>supporting</x:v>
      </x:c>
      <x:c r="T97" s="20" t="str">
        <x:v>arxiv_stable_no_doi</x:v>
      </x:c>
      <x:c r="U97" s="20" t="str">
        <x:v>manual_seed</x:v>
      </x:c>
      <x:c r="V97" s="20" t="str"/>
    </x:row>
    <x:row r="98">
      <x:c r="A98" s="20" t="str">
        <x:v>xiong2024_benchmarking_retrieval_augmented</x:v>
      </x:c>
      <x:c r="B98" s="20" t="str">
        <x:v>misc</x:v>
      </x:c>
      <x:c r="C98" s="20" t="str">
        <x:v>Xiong, Guangzhi and Jin, Qiao and Lu, Zhiyong and Zhang, Aidong</x:v>
      </x:c>
      <x:c r="D98" s="20" t="str">
        <x:v>2024</x:v>
      </x:c>
      <x:c r="E98" s="20" t="str">
        <x:v>Benchmarking Retrieval-Augmented Generation for Medicine</x:v>
      </x:c>
      <x:c r="F98" s="20" t="str">
        <x:v>arXiv preprint</x:v>
      </x:c>
      <x:c r="G98" s="20" t="str"/>
      <x:c r="H98" s="20" t="str">
        <x:v>https://arxiv.org/abs/2402.13178</x:v>
      </x:c>
      <x:c r="I98" s="20" t="str">
        <x:v>2402.13178</x:v>
      </x:c>
      <x:c r="J98" s="20" t="str"/>
      <x:c r="K98" s="20" t="str"/>
      <x:c r="L98" s="20" t="str">
        <x:v>06_RAG_KG_Medical</x:v>
      </x:c>
      <x:c r="M98" s="20" t="str">
        <x:v>06_RAG_KG_Medical</x:v>
      </x:c>
      <x:c r="N98" s="20" t="str">
        <x:v>benchmark;medical;rag</x:v>
      </x:c>
      <x:c r="O98" s="20" t="str">
        <x:v>medical-RAG</x:v>
      </x:c>
      <x:c r="P98" s="20" t="str">
        <x:v>en</x:v>
      </x:c>
      <x:c r="Q98" s="20" t="str">
        <x:v>retrieval_grounding</x:v>
      </x:c>
      <x:c r="R98" s="20" t="str">
        <x:v>not_applicable</x:v>
      </x:c>
      <x:c r="S98" s="20" t="str">
        <x:v>core</x:v>
      </x:c>
      <x:c r="T98" s="20" t="str">
        <x:v>arxiv_stable_no_doi</x:v>
      </x:c>
      <x:c r="U98" s="20" t="str">
        <x:v>manual_seed</x:v>
      </x:c>
      <x:c r="V98" s="20" t="str"/>
    </x:row>
    <x:row r="99">
      <x:c r="A99" s="20" t="str">
        <x:v>singhal2023_language_encode_clinical</x:v>
      </x:c>
      <x:c r="B99" s="20" t="str">
        <x:v>article</x:v>
      </x:c>
      <x:c r="C99" s="20" t="str">
        <x:v>Singhal, Karan and Azizi, Shekoofeh and Tu, Tao and Mahdavi, S. Sara and Wei, Jason and Chung, Hyung Won and Scales, Nathan and Tanwani, Ajay and Cole-Lewis, Heather and Pfohl, Stephen and Payne, Perry and Seneviratne, Manali and Gamble, Paul and Kelly, Chris and Babiker, Adel and Schärli, Nathanael and Chowdhery, Aakanksha and Mansfield, Philip and Demner-Fushman, Dina and Agüera y Arcas, Blaise and Webster, Dale and Corrado, Greg S. and Matias, Yossi and Chou, Katherine and Gottweis, Juraj and Tomasev, Nenad and Liu, Yun</x:v>
      </x:c>
      <x:c r="D99" s="20" t="str">
        <x:v>2023</x:v>
      </x:c>
      <x:c r="E99" s="20" t="str">
        <x:v>Large Language Models Encode Clinical Knowledge</x:v>
      </x:c>
      <x:c r="F99" s="20" t="str">
        <x:v>Nature</x:v>
      </x:c>
      <x:c r="G99" s="20" t="str">
        <x:v>10.1038/s41586-023-06291-2</x:v>
      </x:c>
      <x:c r="H99" s="20" t="str">
        <x:v>https://www.nature.com/articles/s41586-023-06291-2</x:v>
      </x:c>
      <x:c r="I99" s="20" t="str"/>
      <x:c r="J99" s="20" t="str"/>
      <x:c r="K99" s="20" t="str"/>
      <x:c r="L99" s="20" t="str">
        <x:v>06_RAG_KG_Medical</x:v>
      </x:c>
      <x:c r="M99" s="20" t="str">
        <x:v>06_RAG_KG_Medical</x:v>
      </x:c>
      <x:c r="N99" s="20" t="str">
        <x:v>clinical-knowledge;medical-llm;qa</x:v>
      </x:c>
      <x:c r="O99" s="20" t="str">
        <x:v>medical-QA</x:v>
      </x:c>
      <x:c r="P99" s="20" t="str">
        <x:v>en</x:v>
      </x:c>
      <x:c r="Q99" s="20" t="str">
        <x:v>human_eval</x:v>
      </x:c>
      <x:c r="R99" s="20" t="str">
        <x:v>not_applicable</x:v>
      </x:c>
      <x:c r="S99" s="20" t="str">
        <x:v>supporting</x:v>
      </x:c>
      <x:c r="T99" s="20" t="str">
        <x:v>doi_structurally_verified_from_source</x:v>
      </x:c>
      <x:c r="U99" s="20" t="str">
        <x:v>manual_seed</x:v>
      </x:c>
      <x:c r="V99" s="20" t="str"/>
    </x:row>
    <x:row r="100">
      <x:c r="A100" s="20" t="str">
        <x:v>singhal2025_expert_level_medical</x:v>
      </x:c>
      <x:c r="B100" s="20" t="str">
        <x:v>article</x:v>
      </x:c>
      <x:c r="C100" s="20" t="str">
        <x:v>Singhal, Karan and Tu, Tao and Gottweis, Juraj and Sayres, Rory and Wulczyn, Ellery and Amin, Mohamed and Hou, Le and Clark, Kevin and Pfohl, Stephen and Cole-Lewis, Heather and Neal, Darlene and Schaekermann, Mike and Wang, Amy and others</x:v>
      </x:c>
      <x:c r="D100" s="20" t="str">
        <x:v>2025</x:v>
      </x:c>
      <x:c r="E100" s="20" t="str">
        <x:v>Toward Expert-Level Medical Question Answering with Large Language Models</x:v>
      </x:c>
      <x:c r="F100" s="20" t="str">
        <x:v>Nature Medicine</x:v>
      </x:c>
      <x:c r="G100" s="20" t="str">
        <x:v>10.1038/s41591-025-03483-4</x:v>
      </x:c>
      <x:c r="H100" s="20" t="str">
        <x:v>https://www.nature.com/</x:v>
      </x:c>
      <x:c r="I100" s="20" t="str"/>
      <x:c r="J100" s="20" t="str"/>
      <x:c r="K100" s="20" t="str"/>
      <x:c r="L100" s="20" t="str">
        <x:v>06_RAG_KG_Medical</x:v>
      </x:c>
      <x:c r="M100" s="20" t="str">
        <x:v>06_RAG_KG_Medical</x:v>
      </x:c>
      <x:c r="N100" s="20" t="str">
        <x:v>evaluation;medical-llm;qa</x:v>
      </x:c>
      <x:c r="O100" s="20" t="str">
        <x:v>medical-QA</x:v>
      </x:c>
      <x:c r="P100" s="20" t="str">
        <x:v>en</x:v>
      </x:c>
      <x:c r="Q100" s="20" t="str">
        <x:v>human_eval</x:v>
      </x:c>
      <x:c r="R100" s="20" t="str">
        <x:v>not_applicable</x:v>
      </x:c>
      <x:c r="S100" s="20" t="str">
        <x:v>supporting</x:v>
      </x:c>
      <x:c r="T100" s="20" t="str">
        <x:v>doi_structurally_verified_from_source</x:v>
      </x:c>
      <x:c r="U100" s="20" t="str">
        <x:v>manual_seed</x:v>
      </x:c>
      <x:c r="V100" s="20" t="str"/>
    </x:row>
    <x:row r="101">
      <x:c r="A101" s="20" t="str">
        <x:v>jin2019_pubmedqa_biomedical_research</x:v>
      </x:c>
      <x:c r="B101" s="20" t="str">
        <x:v>inproceedings</x:v>
      </x:c>
      <x:c r="C101" s="20" t="str">
        <x:v>Jin, Qiao and Dhingra, Bhuwan and Liu, Zhengping and Cohen, William W. and Lu, Xinghua</x:v>
      </x:c>
      <x:c r="D101" s="20" t="str">
        <x:v>2019</x:v>
      </x:c>
      <x:c r="E101" s="20" t="str">
        <x:v>PubMedQA: A Dataset for Biomedical Research Question Answering</x:v>
      </x:c>
      <x:c r="F101" s="20" t="str">
        <x:v>Proceedings of EMNLP-IJCNLP 2019</x:v>
      </x:c>
      <x:c r="G101" s="20" t="str">
        <x:v>10.18653/v1/D19-1259</x:v>
      </x:c>
      <x:c r="H101" s="20" t="str">
        <x:v>https://aclanthology.org/D19-1259/</x:v>
      </x:c>
      <x:c r="I101" s="20" t="str"/>
      <x:c r="J101" s="20" t="str"/>
      <x:c r="K101" s="20" t="str">
        <x:v>D19-1259</x:v>
      </x:c>
      <x:c r="L101" s="20" t="str">
        <x:v>06_RAG_KG_Medical</x:v>
      </x:c>
      <x:c r="M101" s="20" t="str">
        <x:v>06_RAG_KG_Medical</x:v>
      </x:c>
      <x:c r="N101" s="20" t="str">
        <x:v>biomedical;dataset;qa</x:v>
      </x:c>
      <x:c r="O101" s="20" t="str">
        <x:v>QA</x:v>
      </x:c>
      <x:c r="P101" s="20" t="str">
        <x:v>en</x:v>
      </x:c>
      <x:c r="Q101" s="20" t="str">
        <x:v>retrieval_grounding</x:v>
      </x:c>
      <x:c r="R101" s="20" t="str">
        <x:v>not_applicable</x:v>
      </x:c>
      <x:c r="S101" s="20" t="str">
        <x:v>supporting</x:v>
      </x:c>
      <x:c r="T101" s="20" t="str">
        <x:v>doi_structurally_verified_from_source</x:v>
      </x:c>
      <x:c r="U101" s="20" t="str">
        <x:v>manual_seed</x:v>
      </x:c>
      <x:c r="V101" s="20" t="str"/>
    </x:row>
    <x:row r="102">
      <x:c r="A102" s="20" t="str">
        <x:v>luo2022_biogpt_generative_pre</x:v>
      </x:c>
      <x:c r="B102" s="20" t="str">
        <x:v>article</x:v>
      </x:c>
      <x:c r="C102" s="20" t="str">
        <x:v>Luo, Renqian and Sun, Luyang and Xia, Yingce and Qin, Tao and Zhang, Sheng and Poon, Hoifung and Liu, Tie-Yan</x:v>
      </x:c>
      <x:c r="D102" s="20" t="str">
        <x:v>2022</x:v>
      </x:c>
      <x:c r="E102" s="20" t="str">
        <x:v>BioGPT: Generative Pre-trained Transformer for Biomedical Text Generation and Mining</x:v>
      </x:c>
      <x:c r="F102" s="20" t="str">
        <x:v>Briefings in Bioinformatics</x:v>
      </x:c>
      <x:c r="G102" s="20" t="str">
        <x:v>10.1093/bib/bbac409</x:v>
      </x:c>
      <x:c r="H102" s="20" t="str">
        <x:v>https://academic.oup.com/bib/article/23/6/bbac409/6713511</x:v>
      </x:c>
      <x:c r="I102" s="20" t="str"/>
      <x:c r="J102" s="20" t="str"/>
      <x:c r="K102" s="20" t="str"/>
      <x:c r="L102" s="20" t="str">
        <x:v>06_RAG_KG_Medical</x:v>
      </x:c>
      <x:c r="M102" s="20" t="str">
        <x:v>06_RAG_KG_Medical</x:v>
      </x:c>
      <x:c r="N102" s="20" t="str">
        <x:v>biomedical;generation;language-model</x:v>
      </x:c>
      <x:c r="O102" s="20" t="str">
        <x:v>generation</x:v>
      </x:c>
      <x:c r="P102" s="20" t="str">
        <x:v>en</x:v>
      </x:c>
      <x:c r="Q102" s="20" t="str">
        <x:v>none</x:v>
      </x:c>
      <x:c r="R102" s="20" t="str">
        <x:v>not_applicable</x:v>
      </x:c>
      <x:c r="S102" s="20" t="str">
        <x:v>supporting</x:v>
      </x:c>
      <x:c r="T102" s="20" t="str">
        <x:v>doi_structurally_verified_from_source</x:v>
      </x:c>
      <x:c r="U102" s="20" t="str">
        <x:v>manual_seed</x:v>
      </x:c>
      <x:c r="V102" s="20" t="str"/>
    </x:row>
    <x:row r="103">
      <x:c r="A103" s="20" t="str">
        <x:v>lee2020_biobert_pre_trained</x:v>
      </x:c>
      <x:c r="B103" s="20" t="str">
        <x:v>article</x:v>
      </x:c>
      <x:c r="C103" s="20" t="str">
        <x:v>Lee, Jinhyuk and Yoon, Wonjin and Kim, Sungdong and Kim, Donghyeon and Kim, Sunkyu and So, Chan Ho and Kang, Jaewoo</x:v>
      </x:c>
      <x:c r="D103" s="20" t="str">
        <x:v>2020</x:v>
      </x:c>
      <x:c r="E103" s="20" t="str">
        <x:v>BioBERT: A Pre-trained Biomedical Language Representation Model for Biomedical Text Mining</x:v>
      </x:c>
      <x:c r="F103" s="20" t="str">
        <x:v>Bioinformatics</x:v>
      </x:c>
      <x:c r="G103" s="20" t="str">
        <x:v>10.1093/bioinformatics/btz682</x:v>
      </x:c>
      <x:c r="H103" s="20" t="str">
        <x:v>https://academic.oup.com/bioinformatics/article/36/4/1234/5566506</x:v>
      </x:c>
      <x:c r="I103" s="20" t="str"/>
      <x:c r="J103" s="20" t="str"/>
      <x:c r="K103" s="20" t="str"/>
      <x:c r="L103" s="20" t="str">
        <x:v>06_RAG_KG_Medical</x:v>
      </x:c>
      <x:c r="M103" s="20" t="str">
        <x:v>06_RAG_KG_Medical</x:v>
      </x:c>
      <x:c r="N103" s="20" t="str">
        <x:v>BERT;biomedical;language-model</x:v>
      </x:c>
      <x:c r="O103" s="20" t="str">
        <x:v>pretraining</x:v>
      </x:c>
      <x:c r="P103" s="20" t="str">
        <x:v>en</x:v>
      </x:c>
      <x:c r="Q103" s="20" t="str">
        <x:v>none</x:v>
      </x:c>
      <x:c r="R103" s="20" t="str">
        <x:v>not_applicable</x:v>
      </x:c>
      <x:c r="S103" s="20" t="str">
        <x:v>background</x:v>
      </x:c>
      <x:c r="T103" s="20" t="str">
        <x:v>doi_structurally_verified_from_source</x:v>
      </x:c>
      <x:c r="U103" s="20" t="str">
        <x:v>manual_seed</x:v>
      </x:c>
      <x:c r="V103" s="20" t="str"/>
    </x:row>
    <x:row r="104">
      <x:c r="A104" s="20" t="str">
        <x:v>alsentzer2019_publicly_available_clinical</x:v>
      </x:c>
      <x:c r="B104" s="20" t="str">
        <x:v>inproceedings</x:v>
      </x:c>
      <x:c r="C104" s="20" t="str">
        <x:v>Alsentzer, Emily and Murphy, John R. and Boag, Willie and Weng, Wei-Hung and Jin, Di and Naumann, Tristan and McDermott, Matthew B. A.</x:v>
      </x:c>
      <x:c r="D104" s="20" t="str">
        <x:v>2019</x:v>
      </x:c>
      <x:c r="E104" s="20" t="str">
        <x:v>Publicly Available Clinical BERT Embeddings</x:v>
      </x:c>
      <x:c r="F104" s="20" t="str">
        <x:v>Proceedings of the 2nd Clinical Natural Language Processing Workshop</x:v>
      </x:c>
      <x:c r="G104" s="20" t="str">
        <x:v>10.18653/v1/W19-1909</x:v>
      </x:c>
      <x:c r="H104" s="20" t="str">
        <x:v>https://aclanthology.org/W19-1909/</x:v>
      </x:c>
      <x:c r="I104" s="20" t="str"/>
      <x:c r="J104" s="20" t="str"/>
      <x:c r="K104" s="20" t="str">
        <x:v>W19-1909</x:v>
      </x:c>
      <x:c r="L104" s="20" t="str">
        <x:v>06_RAG_KG_Medical</x:v>
      </x:c>
      <x:c r="M104" s="20" t="str">
        <x:v>06_RAG_KG_Medical</x:v>
      </x:c>
      <x:c r="N104" s="20" t="str">
        <x:v>BERT;clinical;language-model</x:v>
      </x:c>
      <x:c r="O104" s="20" t="str">
        <x:v>pretraining</x:v>
      </x:c>
      <x:c r="P104" s="20" t="str">
        <x:v>en</x:v>
      </x:c>
      <x:c r="Q104" s="20" t="str">
        <x:v>none</x:v>
      </x:c>
      <x:c r="R104" s="20" t="str">
        <x:v>not_applicable</x:v>
      </x:c>
      <x:c r="S104" s="20" t="str">
        <x:v>background</x:v>
      </x:c>
      <x:c r="T104" s="20" t="str">
        <x:v>doi_structurally_verified_from_source</x:v>
      </x:c>
      <x:c r="U104" s="20" t="str">
        <x:v>manual_seed</x:v>
      </x:c>
      <x:c r="V104" s="20" t="str"/>
    </x:row>
    <x:row r="105">
      <x:c r="A105" s="20" t="str">
        <x:v>peng2019_transfer_learning_biomedical</x:v>
      </x:c>
      <x:c r="B105" s="20" t="str">
        <x:v>inproceedings</x:v>
      </x:c>
      <x:c r="C105" s="20" t="str">
        <x:v>Peng, Yifan and Yan, Shankai and Lu, Zhiyong</x:v>
      </x:c>
      <x:c r="D105" s="20" t="str">
        <x:v>2019</x:v>
      </x:c>
      <x:c r="E105" s="20" t="str">
        <x:v>Transfer Learning in Biomedical Natural Language Processing: An Evaluation of BERT and ELMo on Ten Benchmarking Datasets</x:v>
      </x:c>
      <x:c r="F105" s="20" t="str">
        <x:v>Proceedings of the 18th BioNLP Workshop and Shared Task</x:v>
      </x:c>
      <x:c r="G105" s="20" t="str">
        <x:v>10.18653/v1/W19-5006</x:v>
      </x:c>
      <x:c r="H105" s="20" t="str">
        <x:v>https://aclanthology.org/W19-5006/</x:v>
      </x:c>
      <x:c r="I105" s="20" t="str"/>
      <x:c r="J105" s="20" t="str"/>
      <x:c r="K105" s="20" t="str">
        <x:v>W19-5006</x:v>
      </x:c>
      <x:c r="L105" s="20" t="str">
        <x:v>06_RAG_KG_Medical</x:v>
      </x:c>
      <x:c r="M105" s="20" t="str">
        <x:v>06_RAG_KG_Medical</x:v>
      </x:c>
      <x:c r="N105" s="20" t="str">
        <x:v>BERT;biomedical;transfer-learning</x:v>
      </x:c>
      <x:c r="O105" s="20" t="str">
        <x:v>pretraining;benchmark</x:v>
      </x:c>
      <x:c r="P105" s="20" t="str">
        <x:v>en</x:v>
      </x:c>
      <x:c r="Q105" s="20" t="str">
        <x:v>none</x:v>
      </x:c>
      <x:c r="R105" s="20" t="str">
        <x:v>not_applicable</x:v>
      </x:c>
      <x:c r="S105" s="20" t="str">
        <x:v>background</x:v>
      </x:c>
      <x:c r="T105" s="20" t="str">
        <x:v>doi_structurally_verified_from_source</x:v>
      </x:c>
      <x:c r="U105" s="20" t="str">
        <x:v>manual_seed</x:v>
      </x:c>
      <x:c r="V105" s="20" t="str"/>
    </x:row>
    <x:row r="106">
      <x:c r="A106" s="20" t="str">
        <x:v>bodenreider2004_unified_medical_language</x:v>
      </x:c>
      <x:c r="B106" s="20" t="str">
        <x:v>article</x:v>
      </x:c>
      <x:c r="C106" s="20" t="str">
        <x:v>Bodenreider, Olivier</x:v>
      </x:c>
      <x:c r="D106" s="20" t="str">
        <x:v>2004</x:v>
      </x:c>
      <x:c r="E106" s="20" t="str">
        <x:v>The Unified Medical Language System (UMLS): Integrating Biomedical Terminology</x:v>
      </x:c>
      <x:c r="F106" s="20" t="str">
        <x:v>Nucleic Acids Research</x:v>
      </x:c>
      <x:c r="G106" s="20" t="str">
        <x:v>10.1093/nar/gkh061</x:v>
      </x:c>
      <x:c r="H106" s="20" t="str">
        <x:v>https://academic.oup.com/nar/article/32/suppl_1/D267/2505204</x:v>
      </x:c>
      <x:c r="I106" s="20" t="str"/>
      <x:c r="J106" s="20" t="str"/>
      <x:c r="K106" s="20" t="str"/>
      <x:c r="L106" s="20" t="str">
        <x:v>06_RAG_KG_Medical</x:v>
      </x:c>
      <x:c r="M106" s="20" t="str">
        <x:v>06_RAG_KG_Medical</x:v>
      </x:c>
      <x:c r="N106" s="20" t="str">
        <x:v>UMLS;knowledge-graph;terminology</x:v>
      </x:c>
      <x:c r="O106" s="20" t="str">
        <x:v>resource</x:v>
      </x:c>
      <x:c r="P106" s="20" t="str">
        <x:v>en</x:v>
      </x:c>
      <x:c r="Q106" s="20" t="str">
        <x:v>ontology</x:v>
      </x:c>
      <x:c r="R106" s="20" t="str">
        <x:v>not_applicable</x:v>
      </x:c>
      <x:c r="S106" s="20" t="str">
        <x:v>background</x:v>
      </x:c>
      <x:c r="T106" s="20" t="str">
        <x:v>doi_structurally_verified_from_source</x:v>
      </x:c>
      <x:c r="U106" s="20" t="str">
        <x:v>manual_seed</x:v>
      </x:c>
      <x:c r="V106" s="20" t="str"/>
    </x:row>
    <x:row r="107">
      <x:c r="A107" s="20" t="str">
        <x:v>lindberg1993_unified_medical_language</x:v>
      </x:c>
      <x:c r="B107" s="20" t="str">
        <x:v>article</x:v>
      </x:c>
      <x:c r="C107" s="20" t="str">
        <x:v>Lindberg, Donald A. B. and Humphreys, Betsy L. and McCray, Alexa T.</x:v>
      </x:c>
      <x:c r="D107" s="20" t="str">
        <x:v>1993</x:v>
      </x:c>
      <x:c r="E107" s="20" t="str">
        <x:v>The Unified Medical Language System</x:v>
      </x:c>
      <x:c r="F107" s="20" t="str">
        <x:v>Methods of Information in Medicine</x:v>
      </x:c>
      <x:c r="G107" s="20" t="str">
        <x:v>10.1055/s-0038-1634945</x:v>
      </x:c>
      <x:c r="H107" s="20" t="str">
        <x:v>https://pubmed.ncbi.nlm.nih.gov/8412823/</x:v>
      </x:c>
      <x:c r="I107" s="20" t="str"/>
      <x:c r="J107" s="20" t="str"/>
      <x:c r="K107" s="20" t="str"/>
      <x:c r="L107" s="20" t="str">
        <x:v>06_RAG_KG_Medical</x:v>
      </x:c>
      <x:c r="M107" s="20" t="str">
        <x:v>06_RAG_KG_Medical</x:v>
      </x:c>
      <x:c r="N107" s="20" t="str">
        <x:v>UMLS;knowledge-graph;terminology</x:v>
      </x:c>
      <x:c r="O107" s="20" t="str">
        <x:v>resource</x:v>
      </x:c>
      <x:c r="P107" s="20" t="str">
        <x:v>en</x:v>
      </x:c>
      <x:c r="Q107" s="20" t="str">
        <x:v>ontology</x:v>
      </x:c>
      <x:c r="R107" s="20" t="str">
        <x:v>not_applicable</x:v>
      </x:c>
      <x:c r="S107" s="20" t="str">
        <x:v>background</x:v>
      </x:c>
      <x:c r="T107" s="20" t="str">
        <x:v>doi_present_needs_crossref_check</x:v>
      </x:c>
      <x:c r="U107" s="20" t="str">
        <x:v>manual_seed</x:v>
      </x:c>
      <x:c r="V107" s="20" t="str"/>
    </x:row>
    <x:row r="108">
      <x:c r="A108" s="20" t="str">
        <x:v>zeng2006_exploring_developing_consumer</x:v>
      </x:c>
      <x:c r="B108" s="20" t="str">
        <x:v>article</x:v>
      </x:c>
      <x:c r="C108" s="20" t="str">
        <x:v>Zeng, Qing T. and Tse, Tony</x:v>
      </x:c>
      <x:c r="D108" s="20" t="str">
        <x:v>2006</x:v>
      </x:c>
      <x:c r="E108" s="20" t="str">
        <x:v>Exploring and Developing Consumer Health Vocabularies</x:v>
      </x:c>
      <x:c r="F108" s="20" t="str">
        <x:v>Journal of the American Medical Informatics Association</x:v>
      </x:c>
      <x:c r="G108" s="20" t="str">
        <x:v>10.1197/jamia.M1761</x:v>
      </x:c>
      <x:c r="H108" s="20" t="str">
        <x:v>https://academic.oup.com/jamia/article/13/1/24/773700</x:v>
      </x:c>
      <x:c r="I108" s="20" t="str"/>
      <x:c r="J108" s="20" t="str"/>
      <x:c r="K108" s="20" t="str"/>
      <x:c r="L108" s="20" t="str">
        <x:v>06_RAG_KG_Medical</x:v>
      </x:c>
      <x:c r="M108" s="20" t="str">
        <x:v>06_RAG_KG_Medical</x:v>
      </x:c>
      <x:c r="N108" s="20" t="str">
        <x:v>consumer-health-vocabulary;terminology</x:v>
      </x:c>
      <x:c r="O108" s="20" t="str">
        <x:v>resource</x:v>
      </x:c>
      <x:c r="P108" s="20" t="str">
        <x:v>en</x:v>
      </x:c>
      <x:c r="Q108" s="20" t="str">
        <x:v>ontology</x:v>
      </x:c>
      <x:c r="R108" s="20" t="str">
        <x:v>not_applicable</x:v>
      </x:c>
      <x:c r="S108" s="20" t="str">
        <x:v>background</x:v>
      </x:c>
      <x:c r="T108" s="20" t="str">
        <x:v>doi_present_needs_crossref_check</x:v>
      </x:c>
      <x:c r="U108" s="20" t="str">
        <x:v>manual_seed</x:v>
      </x:c>
      <x:c r="V108" s="20" t="str"/>
    </x:row>
    <x:row r="109">
      <x:c r="A109" s="20" t="str">
        <x:v>saggion2017_text_simplification</x:v>
      </x:c>
      <x:c r="B109" s="20" t="str">
        <x:v>book</x:v>
      </x:c>
      <x:c r="C109" s="20" t="str">
        <x:v>Saggion, Horacio</x:v>
      </x:c>
      <x:c r="D109" s="20" t="str">
        <x:v>2017</x:v>
      </x:c>
      <x:c r="E109" s="20" t="str">
        <x:v>Automatic Text Simplification</x:v>
      </x:c>
      <x:c r="F109" s="20" t="str">
        <x:v>Synthesis Lectures on Human Language Technologies</x:v>
      </x:c>
      <x:c r="G109" s="20" t="str">
        <x:v>10.2200/S00700ED1V01Y201602HLT032</x:v>
      </x:c>
      <x:c r="H109" s="20" t="str">
        <x:v>https://doi.org/10.2200/S00700ED1V01Y201602HLT032</x:v>
      </x:c>
      <x:c r="I109" s="20" t="str"/>
      <x:c r="J109" s="20" t="str"/>
      <x:c r="K109" s="20" t="str"/>
      <x:c r="L109" s="20" t="str">
        <x:v>02_Adjacent_Multilingual_TS</x:v>
      </x:c>
      <x:c r="M109" s="20" t="str">
        <x:v>02_Adjacent_Multilingual_TS</x:v>
      </x:c>
      <x:c r="N109" s="20" t="str">
        <x:v>survey;text-simplification</x:v>
      </x:c>
      <x:c r="O109" s="20" t="str">
        <x:v>survey;simplification</x:v>
      </x:c>
      <x:c r="P109" s="20" t="str">
        <x:v>en</x:v>
      </x:c>
      <x:c r="Q109" s="20" t="str">
        <x:v>none</x:v>
      </x:c>
      <x:c r="R109" s="20" t="str">
        <x:v>not_applicable</x:v>
      </x:c>
      <x:c r="S109" s="20" t="str">
        <x:v>background</x:v>
      </x:c>
      <x:c r="T109" s="20" t="str">
        <x:v>doi_present_needs_crossref_check</x:v>
      </x:c>
      <x:c r="U109" s="20" t="str">
        <x:v>manual_seed</x:v>
      </x:c>
      <x:c r="V109" s="20" t="str"/>
    </x:row>
    <x:row r="110">
      <x:c r="A110" s="20" t="str">
        <x:v>alvamanchego2020_easse_easier_sentence</x:v>
      </x:c>
      <x:c r="B110" s="20" t="str">
        <x:v>inproceedings</x:v>
      </x:c>
      <x:c r="C110" s="20" t="str">
        <x:v>Alva-Manchego, Fernando and Martin, Louis and Scarton, Carolina and Specia, Lucia</x:v>
      </x:c>
      <x:c r="D110" s="20" t="str">
        <x:v>2020</x:v>
      </x:c>
      <x:c r="E110" s="20" t="str">
        <x:v>EASSE: Easier Automatic Sentence Simplification Evaluation</x:v>
      </x:c>
      <x:c r="F110" s="20" t="str">
        <x:v>Proceedings of the 2020 Conference on Empirical Methods in Natural Language Processing: System Demonstrations</x:v>
      </x:c>
      <x:c r="G110" s="20" t="str">
        <x:v>10.18653/v1/2020.emnlp-demos.9</x:v>
      </x:c>
      <x:c r="H110" s="20" t="str">
        <x:v>https://aclanthology.org/2020.emnlp-demos.9/</x:v>
      </x:c>
      <x:c r="I110" s="20" t="str"/>
      <x:c r="J110" s="20" t="str"/>
      <x:c r="K110" s="20" t="str">
        <x:v>2020.emnlp-demos.9</x:v>
      </x:c>
      <x:c r="L110" s="20" t="str">
        <x:v>02_Adjacent_Multilingual_TS</x:v>
      </x:c>
      <x:c r="M110" s="20" t="str">
        <x:v>02_Adjacent_Multilingual_TS</x:v>
      </x:c>
      <x:c r="N110" s="20" t="str">
        <x:v>SARI;evaluation;text-simplification</x:v>
      </x:c>
      <x:c r="O110" s="20" t="str">
        <x:v>evaluation</x:v>
      </x:c>
      <x:c r="P110" s="20" t="str">
        <x:v>en</x:v>
      </x:c>
      <x:c r="Q110" s="20" t="str">
        <x:v>none</x:v>
      </x:c>
      <x:c r="R110" s="20" t="str">
        <x:v>not_applicable</x:v>
      </x:c>
      <x:c r="S110" s="20" t="str">
        <x:v>supporting</x:v>
      </x:c>
      <x:c r="T110" s="20" t="str">
        <x:v>doi_structurally_verified_from_source</x:v>
      </x:c>
      <x:c r="U110" s="20" t="str">
        <x:v>manual_seed</x:v>
      </x:c>
      <x:c r="V110" s="20" t="str"/>
    </x:row>
    <x:row r="111">
      <x:c r="A111" s="20" t="str">
        <x:v>xu2016_optimizing_statistical_machine</x:v>
      </x:c>
      <x:c r="B111" s="20" t="str">
        <x:v>article</x:v>
      </x:c>
      <x:c r="C111" s="20" t="str">
        <x:v>Xu, Wei and Napoles, Courtney and Pavlick, Ellie and Chen, Quanze and Callison-Burch, Chris</x:v>
      </x:c>
      <x:c r="D111" s="20" t="str">
        <x:v>2016</x:v>
      </x:c>
      <x:c r="E111" s="20" t="str">
        <x:v>Optimizing Statistical Machine Translation for Text Simplification</x:v>
      </x:c>
      <x:c r="F111" s="20" t="str">
        <x:v>Transactions of the Association for Computational Linguistics</x:v>
      </x:c>
      <x:c r="G111" s="20" t="str">
        <x:v>10.1162/tacl_a_00107</x:v>
      </x:c>
      <x:c r="H111" s="20" t="str">
        <x:v>https://aclanthology.org/Q16-1029/</x:v>
      </x:c>
      <x:c r="I111" s="20" t="str"/>
      <x:c r="J111" s="20" t="str"/>
      <x:c r="K111" s="20" t="str"/>
      <x:c r="L111" s="20" t="str">
        <x:v>02_Adjacent_Multilingual_TS</x:v>
      </x:c>
      <x:c r="M111" s="20" t="str">
        <x:v>02_Adjacent_Multilingual_TS</x:v>
      </x:c>
      <x:c r="N111" s="20" t="str">
        <x:v>SARI;evaluation;text-simplification</x:v>
      </x:c>
      <x:c r="O111" s="20" t="str">
        <x:v>simplification;metric</x:v>
      </x:c>
      <x:c r="P111" s="20" t="str">
        <x:v>en</x:v>
      </x:c>
      <x:c r="Q111" s="20" t="str">
        <x:v>none</x:v>
      </x:c>
      <x:c r="R111" s="20" t="str">
        <x:v>not_applicable</x:v>
      </x:c>
      <x:c r="S111" s="20" t="str">
        <x:v>background</x:v>
      </x:c>
      <x:c r="T111" s="20" t="str">
        <x:v>doi_structurally_verified_from_source</x:v>
      </x:c>
      <x:c r="U111" s="20" t="str">
        <x:v>manual_seed</x:v>
      </x:c>
      <x:c r="V111" s="20" t="str"/>
    </x:row>
    <x:row r="112">
      <x:c r="A112" s="20" t="str">
        <x:v>zhang2017_sentence_simplification_deep</x:v>
      </x:c>
      <x:c r="B112" s="20" t="str">
        <x:v>inproceedings</x:v>
      </x:c>
      <x:c r="C112" s="20" t="str">
        <x:v>Zhang, Xingxing and Lapata, Mirella</x:v>
      </x:c>
      <x:c r="D112" s="20" t="str">
        <x:v>2017</x:v>
      </x:c>
      <x:c r="E112" s="20" t="str">
        <x:v>Sentence Simplification with Deep Reinforcement Learning</x:v>
      </x:c>
      <x:c r="F112" s="20" t="str">
        <x:v>Proceedings of the 2017 Conference on Empirical Methods in Natural Language Processing</x:v>
      </x:c>
      <x:c r="G112" s="20" t="str">
        <x:v>10.18653/v1/D17-1062</x:v>
      </x:c>
      <x:c r="H112" s="20" t="str">
        <x:v>https://aclanthology.org/D17-1062/</x:v>
      </x:c>
      <x:c r="I112" s="20" t="str"/>
      <x:c r="J112" s="20" t="str"/>
      <x:c r="K112" s="20" t="str">
        <x:v>D17-1062</x:v>
      </x:c>
      <x:c r="L112" s="20" t="str">
        <x:v>02_Adjacent_Multilingual_TS</x:v>
      </x:c>
      <x:c r="M112" s="20" t="str">
        <x:v>02_Adjacent_Multilingual_TS</x:v>
      </x:c>
      <x:c r="N112" s="20" t="str">
        <x:v>reinforcement-learning;text-simplification</x:v>
      </x:c>
      <x:c r="O112" s="20" t="str">
        <x:v>simplification</x:v>
      </x:c>
      <x:c r="P112" s="20" t="str">
        <x:v>en</x:v>
      </x:c>
      <x:c r="Q112" s="20" t="str">
        <x:v>none</x:v>
      </x:c>
      <x:c r="R112" s="20" t="str">
        <x:v>not_applicable</x:v>
      </x:c>
      <x:c r="S112" s="20" t="str">
        <x:v>background</x:v>
      </x:c>
      <x:c r="T112" s="20" t="str">
        <x:v>doi_structurally_verified_from_source</x:v>
      </x:c>
      <x:c r="U112" s="20" t="str">
        <x:v>manual_seed</x:v>
      </x:c>
      <x:c r="V112" s="20" t="str"/>
    </x:row>
    <x:row r="113">
      <x:c r="A113" s="20" t="str">
        <x:v>nisioi2017_exploring_neural_text</x:v>
      </x:c>
      <x:c r="B113" s="20" t="str">
        <x:v>inproceedings</x:v>
      </x:c>
      <x:c r="C113" s="20" t="str">
        <x:v>Nisioi, Sergiu and Štajner, Sanja and Ponzetto, Simone Paolo and Dinu, Liviu P.</x:v>
      </x:c>
      <x:c r="D113" s="20" t="str">
        <x:v>2017</x:v>
      </x:c>
      <x:c r="E113" s="20" t="str">
        <x:v>Exploring Neural Text Simplification Models</x:v>
      </x:c>
      <x:c r="F113" s="20" t="str">
        <x:v>Proceedings of the 55th Annual Meeting of the Association for Computational Linguistics</x:v>
      </x:c>
      <x:c r="G113" s="20" t="str">
        <x:v>10.18653/v1/P17-2014</x:v>
      </x:c>
      <x:c r="H113" s="20" t="str">
        <x:v>https://aclanthology.org/P17-2014/</x:v>
      </x:c>
      <x:c r="I113" s="20" t="str"/>
      <x:c r="J113" s="20" t="str"/>
      <x:c r="K113" s="20" t="str">
        <x:v>P17-2014</x:v>
      </x:c>
      <x:c r="L113" s="20" t="str">
        <x:v>02_Adjacent_Multilingual_TS</x:v>
      </x:c>
      <x:c r="M113" s="20" t="str">
        <x:v>02_Adjacent_Multilingual_TS</x:v>
      </x:c>
      <x:c r="N113" s="20" t="str">
        <x:v>neural;text-simplification</x:v>
      </x:c>
      <x:c r="O113" s="20" t="str">
        <x:v>simplification</x:v>
      </x:c>
      <x:c r="P113" s="20" t="str">
        <x:v>en</x:v>
      </x:c>
      <x:c r="Q113" s="20" t="str">
        <x:v>none</x:v>
      </x:c>
      <x:c r="R113" s="20" t="str">
        <x:v>not_applicable</x:v>
      </x:c>
      <x:c r="S113" s="20" t="str">
        <x:v>background</x:v>
      </x:c>
      <x:c r="T113" s="20" t="str">
        <x:v>doi_structurally_verified_from_source</x:v>
      </x:c>
      <x:c r="U113" s="20" t="str">
        <x:v>manual_seed</x:v>
      </x:c>
      <x:c r="V113" s="20" t="str"/>
    </x:row>
    <x:row r="114">
      <x:c r="A114" s="20" t="str">
        <x:v>martin2020_muss_multilingual_unsupervised</x:v>
      </x:c>
      <x:c r="B114" s="20" t="str">
        <x:v>inproceedings</x:v>
      </x:c>
      <x:c r="C114" s="20" t="str">
        <x:v>Martin, Louis and Fan, Angela and de la Clergerie, Éric Villemonte and Bordes, Antoine and Sagot, Benoît</x:v>
      </x:c>
      <x:c r="D114" s="20" t="str">
        <x:v>2020</x:v>
      </x:c>
      <x:c r="E114" s="20" t="str">
        <x:v>MUSS: Multilingual Unsupervised Sentence Simplification by Mining Paraphrases</x:v>
      </x:c>
      <x:c r="F114" s="20" t="str">
        <x:v>Proceedings of the 12th Language Resources and Evaluation Conference</x:v>
      </x:c>
      <x:c r="G114" s="20" t="str"/>
      <x:c r="H114" s="20" t="str">
        <x:v>https://aclanthology.org/2020.lrec-1.577/</x:v>
      </x:c>
      <x:c r="I114" s="20" t="str"/>
      <x:c r="J114" s="20" t="str"/>
      <x:c r="K114" s="20" t="str">
        <x:v>2020.lrec-1.577</x:v>
      </x:c>
      <x:c r="L114" s="20" t="str">
        <x:v>02_Adjacent_Multilingual_TS</x:v>
      </x:c>
      <x:c r="M114" s="20" t="str">
        <x:v>02_Adjacent_Multilingual_TS</x:v>
      </x:c>
      <x:c r="N114" s="20" t="str">
        <x:v>multilingual;text-simplification;unsupervised</x:v>
      </x:c>
      <x:c r="O114" s="20" t="str">
        <x:v>simplification</x:v>
      </x:c>
      <x:c r="P114" s="20" t="str">
        <x:v>en;fr;es</x:v>
      </x:c>
      <x:c r="Q114" s="20" t="str">
        <x:v>none</x:v>
      </x:c>
      <x:c r="R114" s="20" t="str">
        <x:v>transferable</x:v>
      </x:c>
      <x:c r="S114" s="20" t="str">
        <x:v>supporting</x:v>
      </x:c>
      <x:c r="T114" s="20" t="str">
        <x:v>acl_id_stable_no_doi_field</x:v>
      </x:c>
      <x:c r="U114" s="20" t="str">
        <x:v>manual_seed</x:v>
      </x:c>
      <x:c r="V114" s="20" t="str"/>
    </x:row>
    <x:row r="115">
      <x:c r="A115" s="20" t="str">
        <x:v>martin2022_muss_multilingual_simplification</x:v>
      </x:c>
      <x:c r="B115" s="20" t="str">
        <x:v>article</x:v>
      </x:c>
      <x:c r="C115" s="20" t="str">
        <x:v>Martin, Louis and Fan, Angela and Gardent, Claire and de la Clergerie, Éric Villemonte and Bordes, Antoine and Sagot, Benoît</x:v>
      </x:c>
      <x:c r="D115" s="20" t="str">
        <x:v>2022</x:v>
      </x:c>
      <x:c r="E115" s="20" t="str">
        <x:v>MUSS: Multilingual Simplification by Encoding Simplification Operations</x:v>
      </x:c>
      <x:c r="F115" s="20" t="str">
        <x:v>Transactions of the Association for Computational Linguistics</x:v>
      </x:c>
      <x:c r="G115" s="20" t="str">
        <x:v>10.1162/tacl_a_00467</x:v>
      </x:c>
      <x:c r="H115" s="20" t="str">
        <x:v>https://aclanthology.org/2022.tacl-1.34/</x:v>
      </x:c>
      <x:c r="I115" s="20" t="str"/>
      <x:c r="J115" s="20" t="str"/>
      <x:c r="K115" s="20" t="str"/>
      <x:c r="L115" s="20" t="str">
        <x:v>02_Adjacent_Multilingual_TS</x:v>
      </x:c>
      <x:c r="M115" s="20" t="str">
        <x:v>02_Adjacent_Multilingual_TS</x:v>
      </x:c>
      <x:c r="N115" s="20" t="str">
        <x:v>multilingual;text-simplification</x:v>
      </x:c>
      <x:c r="O115" s="20" t="str">
        <x:v>simplification</x:v>
      </x:c>
      <x:c r="P115" s="20" t="str">
        <x:v>en;fr;es</x:v>
      </x:c>
      <x:c r="Q115" s="20" t="str">
        <x:v>none</x:v>
      </x:c>
      <x:c r="R115" s="20" t="str">
        <x:v>transferable</x:v>
      </x:c>
      <x:c r="S115" s="20" t="str">
        <x:v>supporting</x:v>
      </x:c>
      <x:c r="T115" s="20" t="str">
        <x:v>doi_structurally_verified_from_source</x:v>
      </x:c>
      <x:c r="U115" s="20" t="str">
        <x:v>manual_seed</x:v>
      </x:c>
      <x:c r="V115" s="20" t="str"/>
    </x:row>
    <x:row r="116">
      <x:c r="A116" s="20" t="str">
        <x:v>scarton2018_learning_simplification_specific</x:v>
      </x:c>
      <x:c r="B116" s="20" t="str">
        <x:v>inproceedings</x:v>
      </x:c>
      <x:c r="C116" s="20" t="str">
        <x:v>Scarton, Carolina and Specia, Lucia</x:v>
      </x:c>
      <x:c r="D116" s="20" t="str">
        <x:v>2018</x:v>
      </x:c>
      <x:c r="E116" s="20" t="str">
        <x:v>Learning Simplifications for Specific Target Audiences</x:v>
      </x:c>
      <x:c r="F116" s="20" t="str">
        <x:v>Proceedings of the 56th Annual Meeting of the Association for Computational Linguistics</x:v>
      </x:c>
      <x:c r="G116" s="20" t="str">
        <x:v>10.18653/v1/P18-1034</x:v>
      </x:c>
      <x:c r="H116" s="20" t="str">
        <x:v>https://aclanthology.org/P18-1034/</x:v>
      </x:c>
      <x:c r="I116" s="20" t="str"/>
      <x:c r="J116" s="20" t="str"/>
      <x:c r="K116" s="20" t="str">
        <x:v>P18-1034</x:v>
      </x:c>
      <x:c r="L116" s="20" t="str">
        <x:v>02_Adjacent_Multilingual_TS</x:v>
      </x:c>
      <x:c r="M116" s="20" t="str">
        <x:v>02_Adjacent_Multilingual_TS</x:v>
      </x:c>
      <x:c r="N116" s="20" t="str">
        <x:v>audience;text-simplification</x:v>
      </x:c>
      <x:c r="O116" s="20" t="str">
        <x:v>simplification</x:v>
      </x:c>
      <x:c r="P116" s="20" t="str">
        <x:v>en</x:v>
      </x:c>
      <x:c r="Q116" s="20" t="str">
        <x:v>none</x:v>
      </x:c>
      <x:c r="R116" s="20" t="str">
        <x:v>not_applicable</x:v>
      </x:c>
      <x:c r="S116" s="20" t="str">
        <x:v>background</x:v>
      </x:c>
      <x:c r="T116" s="20" t="str">
        <x:v>doi_structurally_verified_from_source</x:v>
      </x:c>
      <x:c r="U116" s="20" t="str">
        <x:v>manual_seed</x:v>
      </x:c>
      <x:c r="V116" s="20" t="str"/>
    </x:row>
    <x:row r="117">
      <x:c r="A117" s="20" t="str">
        <x:v>maddela2018_word_complexity_lexicon</x:v>
      </x:c>
      <x:c r="B117" s="20" t="str">
        <x:v>inproceedings</x:v>
      </x:c>
      <x:c r="C117" s="20" t="str">
        <x:v>Maddela, Mounica and Xu, Wei</x:v>
      </x:c>
      <x:c r="D117" s="20" t="str">
        <x:v>2018</x:v>
      </x:c>
      <x:c r="E117" s="20" t="str">
        <x:v>A Word-Complexity Lexicon and A Neural Readability Ranking Model for Lexical Simplification</x:v>
      </x:c>
      <x:c r="F117" s="20" t="str">
        <x:v>Proceedings of the 2018 Conference on Empirical Methods in Natural Language Processing</x:v>
      </x:c>
      <x:c r="G117" s="20" t="str">
        <x:v>10.18653/v1/D18-1410</x:v>
      </x:c>
      <x:c r="H117" s="20" t="str">
        <x:v>https://aclanthology.org/D18-1410/</x:v>
      </x:c>
      <x:c r="I117" s="20" t="str"/>
      <x:c r="J117" s="20" t="str"/>
      <x:c r="K117" s="20" t="str">
        <x:v>D18-1410</x:v>
      </x:c>
      <x:c r="L117" s="20" t="str">
        <x:v>02_Adjacent_Multilingual_TS</x:v>
      </x:c>
      <x:c r="M117" s="20" t="str">
        <x:v>02_Adjacent_Multilingual_TS</x:v>
      </x:c>
      <x:c r="N117" s="20" t="str">
        <x:v>lexical-simplification;readability</x:v>
      </x:c>
      <x:c r="O117" s="20" t="str">
        <x:v>lexical-simplification</x:v>
      </x:c>
      <x:c r="P117" s="20" t="str">
        <x:v>en</x:v>
      </x:c>
      <x:c r="Q117" s="20" t="str">
        <x:v>lexical</x:v>
      </x:c>
      <x:c r="R117" s="20" t="str">
        <x:v>not_applicable</x:v>
      </x:c>
      <x:c r="S117" s="20" t="str">
        <x:v>background</x:v>
      </x:c>
      <x:c r="T117" s="20" t="str">
        <x:v>doi_structurally_verified_from_source</x:v>
      </x:c>
      <x:c r="U117" s="20" t="str">
        <x:v>manual_seed</x:v>
      </x:c>
      <x:c r="V117" s="20" t="str"/>
    </x:row>
    <x:row r="118">
      <x:c r="A118" s="20" t="str">
        <x:v>shardlow2014_text_simplification</x:v>
      </x:c>
      <x:c r="B118" s="20" t="str">
        <x:v>article</x:v>
      </x:c>
      <x:c r="C118" s="20" t="str">
        <x:v>Shardlow, Matthew</x:v>
      </x:c>
      <x:c r="D118" s="20" t="str">
        <x:v>2014</x:v>
      </x:c>
      <x:c r="E118" s="20" t="str">
        <x:v>A Survey of Automated Text Simplification</x:v>
      </x:c>
      <x:c r="F118" s="20" t="str">
        <x:v>International Journal of Advanced Computer Science and Applications</x:v>
      </x:c>
      <x:c r="G118" s="20" t="str"/>
      <x:c r="H118" s="20" t="str">
        <x:v>https://thesai.org/Publications/ViewPaper?Volume=4&amp;Issue=1&amp;Code=IJACSA&amp;SerialNo=1</x:v>
      </x:c>
      <x:c r="I118" s="20" t="str"/>
      <x:c r="J118" s="20" t="str"/>
      <x:c r="K118" s="20" t="str"/>
      <x:c r="L118" s="20" t="str">
        <x:v>02_Adjacent_Multilingual_TS</x:v>
      </x:c>
      <x:c r="M118" s="20" t="str">
        <x:v>02_Adjacent_Multilingual_TS</x:v>
      </x:c>
      <x:c r="N118" s="20" t="str">
        <x:v>survey;text-simplification</x:v>
      </x:c>
      <x:c r="O118" s="20" t="str">
        <x:v>survey</x:v>
      </x:c>
      <x:c r="P118" s="20" t="str">
        <x:v>en</x:v>
      </x:c>
      <x:c r="Q118" s="20" t="str">
        <x:v>none</x:v>
      </x:c>
      <x:c r="R118" s="20" t="str">
        <x:v>not_applicable</x:v>
      </x:c>
      <x:c r="S118" s="20" t="str">
        <x:v>background</x:v>
      </x:c>
      <x:c r="T118" s="20" t="str">
        <x:v>url_stable_no_doi</x:v>
      </x:c>
      <x:c r="U118" s="20" t="str">
        <x:v>manual_seed</x:v>
      </x:c>
      <x:c r="V118" s="20" t="str"/>
    </x:row>
    <x:row r="119">
      <x:c r="A119" s="20" t="str">
        <x:v>paetzold2017_lexical_simplification</x:v>
      </x:c>
      <x:c r="B119" s="20" t="str">
        <x:v>article</x:v>
      </x:c>
      <x:c r="C119" s="20" t="str">
        <x:v>Paetzold, Gustavo H. and Specia, Lucia</x:v>
      </x:c>
      <x:c r="D119" s="20" t="str">
        <x:v>2017</x:v>
      </x:c>
      <x:c r="E119" s="20" t="str">
        <x:v>A Survey on Lexical Simplification</x:v>
      </x:c>
      <x:c r="F119" s="20" t="str">
        <x:v>Journal of Artificial Intelligence Research</x:v>
      </x:c>
      <x:c r="G119" s="20" t="str">
        <x:v>10.1613/jair.5526</x:v>
      </x:c>
      <x:c r="H119" s="20" t="str">
        <x:v>https://www.jair.org/index.php/jair/article/view/10984</x:v>
      </x:c>
      <x:c r="I119" s="20" t="str"/>
      <x:c r="J119" s="20" t="str"/>
      <x:c r="K119" s="20" t="str"/>
      <x:c r="L119" s="20" t="str">
        <x:v>02_Adjacent_Multilingual_TS</x:v>
      </x:c>
      <x:c r="M119" s="20" t="str">
        <x:v>02_Adjacent_Multilingual_TS</x:v>
      </x:c>
      <x:c r="N119" s="20" t="str">
        <x:v>lexical-simplification;survey</x:v>
      </x:c>
      <x:c r="O119" s="20" t="str">
        <x:v>survey</x:v>
      </x:c>
      <x:c r="P119" s="20" t="str">
        <x:v>en</x:v>
      </x:c>
      <x:c r="Q119" s="20" t="str">
        <x:v>none</x:v>
      </x:c>
      <x:c r="R119" s="20" t="str">
        <x:v>not_applicable</x:v>
      </x:c>
      <x:c r="S119" s="20" t="str">
        <x:v>background</x:v>
      </x:c>
      <x:c r="T119" s="20" t="str">
        <x:v>doi_present_needs_crossref_check</x:v>
      </x:c>
      <x:c r="U119" s="20" t="str">
        <x:v>manual_seed</x:v>
      </x:c>
      <x:c r="V119" s="20" t="str"/>
    </x:row>
    <x:row r="120">
      <x:c r="A120" s="20" t="str">
        <x:v>althanyyan2021_text_simplification</x:v>
      </x:c>
      <x:c r="B120" s="20" t="str">
        <x:v>article</x:v>
      </x:c>
      <x:c r="C120" s="20" t="str">
        <x:v>Al-Thanyyan, Suha S. and Azmi, Aqil M.</x:v>
      </x:c>
      <x:c r="D120" s="20" t="str">
        <x:v>2021</x:v>
      </x:c>
      <x:c r="E120" s="20" t="str">
        <x:v>Automated Text Simplification: A Survey</x:v>
      </x:c>
      <x:c r="F120" s="20" t="str">
        <x:v>ACM Computing Surveys</x:v>
      </x:c>
      <x:c r="G120" s="20" t="str">
        <x:v>10.1145/3442695</x:v>
      </x:c>
      <x:c r="H120" s="20" t="str">
        <x:v>https://doi.org/10.1145/3442695</x:v>
      </x:c>
      <x:c r="I120" s="20" t="str"/>
      <x:c r="J120" s="20" t="str"/>
      <x:c r="K120" s="20" t="str"/>
      <x:c r="L120" s="20" t="str">
        <x:v>02_Adjacent_Multilingual_TS</x:v>
      </x:c>
      <x:c r="M120" s="20" t="str">
        <x:v>02_Adjacent_Multilingual_TS</x:v>
      </x:c>
      <x:c r="N120" s="20" t="str">
        <x:v>survey;text-simplification</x:v>
      </x:c>
      <x:c r="O120" s="20" t="str">
        <x:v>survey</x:v>
      </x:c>
      <x:c r="P120" s="20" t="str">
        <x:v>en</x:v>
      </x:c>
      <x:c r="Q120" s="20" t="str">
        <x:v>none</x:v>
      </x:c>
      <x:c r="R120" s="20" t="str">
        <x:v>not_applicable</x:v>
      </x:c>
      <x:c r="S120" s="20" t="str">
        <x:v>background</x:v>
      </x:c>
      <x:c r="T120" s="20" t="str">
        <x:v>doi_structurally_verified_from_source</x:v>
      </x:c>
      <x:c r="U120" s="20" t="str">
        <x:v>manual_seed</x:v>
      </x:c>
      <x:c r="V120" s="20" t="str"/>
    </x:row>
    <x:row r="121">
      <x:c r="A121" s="20" t="str">
        <x:v>siddharthan2014_research_text_simplification</x:v>
      </x:c>
      <x:c r="B121" s="20" t="str">
        <x:v>article</x:v>
      </x:c>
      <x:c r="C121" s="20" t="str">
        <x:v>Siddharthan, Advaith</x:v>
      </x:c>
      <x:c r="D121" s="20" t="str">
        <x:v>2014</x:v>
      </x:c>
      <x:c r="E121" s="20" t="str">
        <x:v>A Survey of Research on Text Simplification</x:v>
      </x:c>
      <x:c r="F121" s="20" t="str">
        <x:v>ITL - International Journal of Applied Linguistics</x:v>
      </x:c>
      <x:c r="G121" s="20" t="str">
        <x:v>10.1075/itl.165.2.06sid</x:v>
      </x:c>
      <x:c r="H121" s="20" t="str">
        <x:v>https://doi.org/10.1075/itl.165.2.06sid</x:v>
      </x:c>
      <x:c r="I121" s="20" t="str"/>
      <x:c r="J121" s="20" t="str"/>
      <x:c r="K121" s="20" t="str"/>
      <x:c r="L121" s="20" t="str">
        <x:v>02_Adjacent_Multilingual_TS</x:v>
      </x:c>
      <x:c r="M121" s="20" t="str">
        <x:v>02_Adjacent_Multilingual_TS</x:v>
      </x:c>
      <x:c r="N121" s="20" t="str">
        <x:v>survey;text-simplification</x:v>
      </x:c>
      <x:c r="O121" s="20" t="str">
        <x:v>survey</x:v>
      </x:c>
      <x:c r="P121" s="20" t="str">
        <x:v>en</x:v>
      </x:c>
      <x:c r="Q121" s="20" t="str">
        <x:v>none</x:v>
      </x:c>
      <x:c r="R121" s="20" t="str">
        <x:v>not_applicable</x:v>
      </x:c>
      <x:c r="S121" s="20" t="str">
        <x:v>background</x:v>
      </x:c>
      <x:c r="T121" s="20" t="str">
        <x:v>doi_present_needs_crossref_check</x:v>
      </x:c>
      <x:c r="U121" s="20" t="str">
        <x:v>manual_seed</x:v>
      </x:c>
      <x:c r="V121" s="20" t="str"/>
    </x:row>
    <x:row r="122">
      <x:c r="A122" s="20" t="str">
        <x:v>zhu2010_monolingual_tree_translation</x:v>
      </x:c>
      <x:c r="B122" s="20" t="str">
        <x:v>inproceedings</x:v>
      </x:c>
      <x:c r="C122" s="20" t="str">
        <x:v>Zhu, Zhemin and Bernhard, Delphine and Gurevych, Iryna</x:v>
      </x:c>
      <x:c r="D122" s="20" t="str">
        <x:v>2010</x:v>
      </x:c>
      <x:c r="E122" s="20" t="str">
        <x:v>A Monolingual Tree-based Translation Model for Sentence Simplification</x:v>
      </x:c>
      <x:c r="F122" s="20" t="str">
        <x:v>Proceedings of COLING 2010</x:v>
      </x:c>
      <x:c r="G122" s="20" t="str"/>
      <x:c r="H122" s="20" t="str">
        <x:v>https://aclanthology.org/C10-1152/</x:v>
      </x:c>
      <x:c r="I122" s="20" t="str"/>
      <x:c r="J122" s="20" t="str"/>
      <x:c r="K122" s="20" t="str">
        <x:v>C10-1152</x:v>
      </x:c>
      <x:c r="L122" s="20" t="str">
        <x:v>02_Adjacent_Multilingual_TS</x:v>
      </x:c>
      <x:c r="M122" s="20" t="str">
        <x:v>02_Adjacent_Multilingual_TS</x:v>
      </x:c>
      <x:c r="N122" s="20" t="str">
        <x:v>statistical;text-simplification</x:v>
      </x:c>
      <x:c r="O122" s="20" t="str">
        <x:v>simplification</x:v>
      </x:c>
      <x:c r="P122" s="20" t="str">
        <x:v>en</x:v>
      </x:c>
      <x:c r="Q122" s="20" t="str">
        <x:v>none</x:v>
      </x:c>
      <x:c r="R122" s="20" t="str">
        <x:v>not_applicable</x:v>
      </x:c>
      <x:c r="S122" s="20" t="str">
        <x:v>background</x:v>
      </x:c>
      <x:c r="T122" s="20" t="str">
        <x:v>acl_id_stable_no_doi_field</x:v>
      </x:c>
      <x:c r="U122" s="20" t="str">
        <x:v>manual_seed</x:v>
      </x:c>
      <x:c r="V122" s="20" t="str"/>
    </x:row>
    <x:row r="123">
      <x:c r="A123" s="20" t="str">
        <x:v>woodsend2011_learning_simplify_sentences</x:v>
      </x:c>
      <x:c r="B123" s="20" t="str">
        <x:v>inproceedings</x:v>
      </x:c>
      <x:c r="C123" s="20" t="str">
        <x:v>Woodsend, Kristian and Lapata, Mirella</x:v>
      </x:c>
      <x:c r="D123" s="20" t="str">
        <x:v>2011</x:v>
      </x:c>
      <x:c r="E123" s="20" t="str">
        <x:v>Learning to Simplify Sentences with Quasi-Synchronous Grammar and Integer Programming</x:v>
      </x:c>
      <x:c r="F123" s="20" t="str">
        <x:v>Proceedings of the 2011 Conference on Empirical Methods in Natural Language Processing</x:v>
      </x:c>
      <x:c r="G123" s="20" t="str"/>
      <x:c r="H123" s="20" t="str">
        <x:v>https://aclanthology.org/D11-1038/</x:v>
      </x:c>
      <x:c r="I123" s="20" t="str"/>
      <x:c r="J123" s="20" t="str"/>
      <x:c r="K123" s="20" t="str">
        <x:v>D11-1038</x:v>
      </x:c>
      <x:c r="L123" s="20" t="str">
        <x:v>02_Adjacent_Multilingual_TS</x:v>
      </x:c>
      <x:c r="M123" s="20" t="str">
        <x:v>02_Adjacent_Multilingual_TS</x:v>
      </x:c>
      <x:c r="N123" s="20" t="str">
        <x:v>grammar;text-simplification</x:v>
      </x:c>
      <x:c r="O123" s="20" t="str">
        <x:v>simplification</x:v>
      </x:c>
      <x:c r="P123" s="20" t="str">
        <x:v>en</x:v>
      </x:c>
      <x:c r="Q123" s="20" t="str">
        <x:v>none</x:v>
      </x:c>
      <x:c r="R123" s="20" t="str">
        <x:v>not_applicable</x:v>
      </x:c>
      <x:c r="S123" s="20" t="str">
        <x:v>background</x:v>
      </x:c>
      <x:c r="T123" s="20" t="str">
        <x:v>acl_id_stable_no_doi_field</x:v>
      </x:c>
      <x:c r="U123" s="20" t="str">
        <x:v>manual_seed</x:v>
      </x:c>
      <x:c r="V123" s="20" t="str"/>
    </x:row>
    <x:row r="124">
      <x:c r="A124" s="20" t="str">
        <x:v>narayan2014_hybrid_simplification_deep</x:v>
      </x:c>
      <x:c r="B124" s="20" t="str">
        <x:v>inproceedings</x:v>
      </x:c>
      <x:c r="C124" s="20" t="str">
        <x:v>Narayan, Shashi and Gardent, Claire</x:v>
      </x:c>
      <x:c r="D124" s="20" t="str">
        <x:v>2014</x:v>
      </x:c>
      <x:c r="E124" s="20" t="str">
        <x:v>Hybrid Simplification using Deep Semantics and Machine Translation</x:v>
      </x:c>
      <x:c r="F124" s="20" t="str">
        <x:v>Proceedings of ACL 2014</x:v>
      </x:c>
      <x:c r="G124" s="20" t="str">
        <x:v>10.3115/v1/P14-1034</x:v>
      </x:c>
      <x:c r="H124" s="20" t="str">
        <x:v>https://aclanthology.org/P14-1034/</x:v>
      </x:c>
      <x:c r="I124" s="20" t="str"/>
      <x:c r="J124" s="20" t="str"/>
      <x:c r="K124" s="20" t="str">
        <x:v>P14-1034</x:v>
      </x:c>
      <x:c r="L124" s="20" t="str">
        <x:v>02_Adjacent_Multilingual_TS</x:v>
      </x:c>
      <x:c r="M124" s="20" t="str">
        <x:v>02_Adjacent_Multilingual_TS</x:v>
      </x:c>
      <x:c r="N124" s="20" t="str">
        <x:v>semantic;text-simplification</x:v>
      </x:c>
      <x:c r="O124" s="20" t="str">
        <x:v>simplification</x:v>
      </x:c>
      <x:c r="P124" s="20" t="str">
        <x:v>en</x:v>
      </x:c>
      <x:c r="Q124" s="20" t="str">
        <x:v>semantic</x:v>
      </x:c>
      <x:c r="R124" s="20" t="str">
        <x:v>not_applicable</x:v>
      </x:c>
      <x:c r="S124" s="20" t="str">
        <x:v>background</x:v>
      </x:c>
      <x:c r="T124" s="20" t="str">
        <x:v>doi_present_needs_crossref_check</x:v>
      </x:c>
      <x:c r="U124" s="20" t="str">
        <x:v>manual_seed</x:v>
      </x:c>
      <x:c r="V124" s="20" t="str"/>
    </x:row>
    <x:row r="125">
      <x:c r="A125" s="20" t="str">
        <x:v>wubben2012_sentence_simplification_monolingual</x:v>
      </x:c>
      <x:c r="B125" s="20" t="str">
        <x:v>inproceedings</x:v>
      </x:c>
      <x:c r="C125" s="20" t="str">
        <x:v>Wubben, Sander and van den Bosch, Antal and Krahmer, Emiel</x:v>
      </x:c>
      <x:c r="D125" s="20" t="str">
        <x:v>2012</x:v>
      </x:c>
      <x:c r="E125" s="20" t="str">
        <x:v>Sentence Simplification by Monolingual Machine Translation</x:v>
      </x:c>
      <x:c r="F125" s="20" t="str">
        <x:v>Proceedings of ACL 2012</x:v>
      </x:c>
      <x:c r="G125" s="20" t="str"/>
      <x:c r="H125" s="20" t="str">
        <x:v>https://aclanthology.org/P12-1107/</x:v>
      </x:c>
      <x:c r="I125" s="20" t="str"/>
      <x:c r="J125" s="20" t="str"/>
      <x:c r="K125" s="20" t="str">
        <x:v>P12-1107</x:v>
      </x:c>
      <x:c r="L125" s="20" t="str">
        <x:v>02_Adjacent_Multilingual_TS</x:v>
      </x:c>
      <x:c r="M125" s="20" t="str">
        <x:v>02_Adjacent_Multilingual_TS</x:v>
      </x:c>
      <x:c r="N125" s="20" t="str">
        <x:v>machine-translation;text-simplification</x:v>
      </x:c>
      <x:c r="O125" s="20" t="str">
        <x:v>simplification</x:v>
      </x:c>
      <x:c r="P125" s="20" t="str">
        <x:v>en</x:v>
      </x:c>
      <x:c r="Q125" s="20" t="str">
        <x:v>none</x:v>
      </x:c>
      <x:c r="R125" s="20" t="str">
        <x:v>not_applicable</x:v>
      </x:c>
      <x:c r="S125" s="20" t="str">
        <x:v>background</x:v>
      </x:c>
      <x:c r="T125" s="20" t="str">
        <x:v>acl_id_stable_no_doi_field</x:v>
      </x:c>
      <x:c r="U125" s="20" t="str">
        <x:v>manual_seed</x:v>
      </x:c>
      <x:c r="V125" s="20" t="str"/>
    </x:row>
    <x:row r="126">
      <x:c r="A126" s="20" t="str">
        <x:v>coster2011_simple_english_wikipedia</x:v>
      </x:c>
      <x:c r="B126" s="20" t="str">
        <x:v>inproceedings</x:v>
      </x:c>
      <x:c r="C126" s="20" t="str">
        <x:v>Coster, William and Kauchak, David</x:v>
      </x:c>
      <x:c r="D126" s="20" t="str">
        <x:v>2011</x:v>
      </x:c>
      <x:c r="E126" s="20" t="str">
        <x:v>Simple English Wikipedia: A New Text Simplification Task</x:v>
      </x:c>
      <x:c r="F126" s="20" t="str">
        <x:v>Proceedings of ACL 2011</x:v>
      </x:c>
      <x:c r="G126" s="20" t="str"/>
      <x:c r="H126" s="20" t="str">
        <x:v>https://aclanthology.org/P11-2117/</x:v>
      </x:c>
      <x:c r="I126" s="20" t="str"/>
      <x:c r="J126" s="20" t="str"/>
      <x:c r="K126" s="20" t="str">
        <x:v>P11-2117</x:v>
      </x:c>
      <x:c r="L126" s="20" t="str">
        <x:v>02_Adjacent_Multilingual_TS</x:v>
      </x:c>
      <x:c r="M126" s="20" t="str">
        <x:v>02_Adjacent_Multilingual_TS</x:v>
      </x:c>
      <x:c r="N126" s="20" t="str">
        <x:v>dataset;text-simplification</x:v>
      </x:c>
      <x:c r="O126" s="20" t="str">
        <x:v>simplification</x:v>
      </x:c>
      <x:c r="P126" s="20" t="str">
        <x:v>en</x:v>
      </x:c>
      <x:c r="Q126" s="20" t="str">
        <x:v>none</x:v>
      </x:c>
      <x:c r="R126" s="20" t="str">
        <x:v>not_applicable</x:v>
      </x:c>
      <x:c r="S126" s="20" t="str">
        <x:v>background</x:v>
      </x:c>
      <x:c r="T126" s="20" t="str">
        <x:v>acl_id_stable_no_doi_field</x:v>
      </x:c>
      <x:c r="U126" s="20" t="str">
        <x:v>manual_seed</x:v>
      </x:c>
      <x:c r="V126" s="20" t="str"/>
    </x:row>
    <x:row r="127">
      <x:c r="A127" s="20" t="str">
        <x:v>zhang2015_character_level_convolutional</x:v>
      </x:c>
      <x:c r="B127" s="20" t="str">
        <x:v>inproceedings</x:v>
      </x:c>
      <x:c r="C127" s="20" t="str">
        <x:v>Zhang, Xuan and Zhao, Wei and LeCun, Yann</x:v>
      </x:c>
      <x:c r="D127" s="20" t="str">
        <x:v>2015</x:v>
      </x:c>
      <x:c r="E127" s="20" t="str">
        <x:v>Character-level Convolutional Networks for Text Classification</x:v>
      </x:c>
      <x:c r="F127" s="20" t="str">
        <x:v>Advances in Neural Information Processing Systems</x:v>
      </x:c>
      <x:c r="G127" s="20" t="str"/>
      <x:c r="H127" s="20" t="str">
        <x:v>https://proceedings.neurips.cc/paper/2015/hash/250cf8b51c773f3f8dc8b4be867a9a02-Abstract.html</x:v>
      </x:c>
      <x:c r="I127" s="20" t="str"/>
      <x:c r="J127" s="20" t="str"/>
      <x:c r="K127" s="20" t="str"/>
      <x:c r="L127" s="20" t="str">
        <x:v>02_Adjacent_Multilingual_TS</x:v>
      </x:c>
      <x:c r="M127" s="20" t="str">
        <x:v>02_Adjacent_Multilingual_TS</x:v>
      </x:c>
      <x:c r="N127" s="20" t="str">
        <x:v>background;classification;neural</x:v>
      </x:c>
      <x:c r="O127" s="20" t="str">
        <x:v>classification</x:v>
      </x:c>
      <x:c r="P127" s="20" t="str">
        <x:v>en</x:v>
      </x:c>
      <x:c r="Q127" s="20" t="str">
        <x:v>none</x:v>
      </x:c>
      <x:c r="R127" s="20" t="str">
        <x:v>not_applicable</x:v>
      </x:c>
      <x:c r="S127" s="20" t="str">
        <x:v>background</x:v>
      </x:c>
      <x:c r="T127" s="20" t="str">
        <x:v>url_stable_no_doi</x:v>
      </x:c>
      <x:c r="U127" s="20" t="str">
        <x:v>manual_seed</x:v>
      </x:c>
      <x:c r="V127" s="20" t="str"/>
    </x:row>
    <x:row r="128">
      <x:c r="A128" s="20" t="str">
        <x:v>zhao2018_integrating_transformer_paraphrase</x:v>
      </x:c>
      <x:c r="B128" s="20" t="str">
        <x:v>inproceedings</x:v>
      </x:c>
      <x:c r="C128" s="20" t="str">
        <x:v>Zhao, Sanqiang and Meng, Rui and He, Daqing and Saptono, Andi and Parmanto, Bambang</x:v>
      </x:c>
      <x:c r="D128" s="20" t="str">
        <x:v>2018</x:v>
      </x:c>
      <x:c r="E128" s="20" t="str">
        <x:v>Integrating Transformer and Paraphrase Rules for Sentence Simplification</x:v>
      </x:c>
      <x:c r="F128" s="20" t="str">
        <x:v>Proceedings of EMNLP 2018</x:v>
      </x:c>
      <x:c r="G128" s="20" t="str">
        <x:v>10.18653/v1/D18-1355</x:v>
      </x:c>
      <x:c r="H128" s="20" t="str">
        <x:v>https://aclanthology.org/D18-1355/</x:v>
      </x:c>
      <x:c r="I128" s="20" t="str"/>
      <x:c r="J128" s="20" t="str"/>
      <x:c r="K128" s="20" t="str">
        <x:v>D18-1355</x:v>
      </x:c>
      <x:c r="L128" s="20" t="str">
        <x:v>02_Adjacent_Multilingual_TS</x:v>
      </x:c>
      <x:c r="M128" s="20" t="str">
        <x:v>02_Adjacent_Multilingual_TS</x:v>
      </x:c>
      <x:c r="N128" s="20" t="str">
        <x:v>rules;text-simplification;transformer</x:v>
      </x:c>
      <x:c r="O128" s="20" t="str">
        <x:v>simplification</x:v>
      </x:c>
      <x:c r="P128" s="20" t="str">
        <x:v>en</x:v>
      </x:c>
      <x:c r="Q128" s="20" t="str">
        <x:v>none</x:v>
      </x:c>
      <x:c r="R128" s="20" t="str">
        <x:v>not_applicable</x:v>
      </x:c>
      <x:c r="S128" s="20" t="str">
        <x:v>background</x:v>
      </x:c>
      <x:c r="T128" s="20" t="str">
        <x:v>doi_structurally_verified_from_source</x:v>
      </x:c>
      <x:c r="U128" s="20" t="str">
        <x:v>manual_seed</x:v>
      </x:c>
      <x:c r="V128" s="20" t="str"/>
    </x:row>
    <x:row r="129">
      <x:c r="A129" s="20" t="str">
        <x:v>kriz2019_simplification_paraphrases_context</x:v>
      </x:c>
      <x:c r="B129" s="20" t="str">
        <x:v>inproceedings</x:v>
      </x:c>
      <x:c r="C129" s="20" t="str">
        <x:v>Kriz, Reno and Miltsakaki, Eleni and Apidianaki, Marianna and Callison-Burch, Chris</x:v>
      </x:c>
      <x:c r="D129" s="20" t="str">
        <x:v>2019</x:v>
      </x:c>
      <x:c r="E129" s="20" t="str">
        <x:v>Simplification Using Paraphrases and Context-based Lexical Substitution</x:v>
      </x:c>
      <x:c r="F129" s="20" t="str">
        <x:v>Proceedings of NAACL 2019</x:v>
      </x:c>
      <x:c r="G129" s="20" t="str">
        <x:v>10.18653/v1/N19-1328</x:v>
      </x:c>
      <x:c r="H129" s="20" t="str">
        <x:v>https://aclanthology.org/N19-1328/</x:v>
      </x:c>
      <x:c r="I129" s="20" t="str"/>
      <x:c r="J129" s="20" t="str"/>
      <x:c r="K129" s="20" t="str">
        <x:v>N19-1328</x:v>
      </x:c>
      <x:c r="L129" s="20" t="str">
        <x:v>02_Adjacent_Multilingual_TS</x:v>
      </x:c>
      <x:c r="M129" s="20" t="str">
        <x:v>02_Adjacent_Multilingual_TS</x:v>
      </x:c>
      <x:c r="N129" s="20" t="str">
        <x:v>lexical-simplification;paraphrase</x:v>
      </x:c>
      <x:c r="O129" s="20" t="str">
        <x:v>lexical-simplification</x:v>
      </x:c>
      <x:c r="P129" s="20" t="str">
        <x:v>en</x:v>
      </x:c>
      <x:c r="Q129" s="20" t="str">
        <x:v>lexical</x:v>
      </x:c>
      <x:c r="R129" s="20" t="str">
        <x:v>not_applicable</x:v>
      </x:c>
      <x:c r="S129" s="20" t="str">
        <x:v>background</x:v>
      </x:c>
      <x:c r="T129" s="20" t="str">
        <x:v>doi_structurally_verified_from_source</x:v>
      </x:c>
      <x:c r="U129" s="20" t="str">
        <x:v>manual_seed</x:v>
      </x:c>
      <x:c r="V129" s="20" t="str"/>
    </x:row>
    <x:row r="130">
      <x:c r="A130" s="20" t="str">
        <x:v>lin2004_rouge_package_evaluation</x:v>
      </x:c>
      <x:c r="B130" s="20" t="str">
        <x:v>inproceedings</x:v>
      </x:c>
      <x:c r="C130" s="20" t="str">
        <x:v>Lin, Chin-Yew</x:v>
      </x:c>
      <x:c r="D130" s="20" t="str">
        <x:v>2004</x:v>
      </x:c>
      <x:c r="E130" s="20" t="str">
        <x:v>ROUGE: A Package for Automatic Evaluation of Summaries</x:v>
      </x:c>
      <x:c r="F130" s="20" t="str">
        <x:v>Text Summarization Branches Out</x:v>
      </x:c>
      <x:c r="G130" s="20" t="str"/>
      <x:c r="H130" s="20" t="str">
        <x:v>https://aclanthology.org/W04-1013/</x:v>
      </x:c>
      <x:c r="I130" s="20" t="str"/>
      <x:c r="J130" s="20" t="str"/>
      <x:c r="K130" s="20" t="str">
        <x:v>W04-1013</x:v>
      </x:c>
      <x:c r="L130" s="20" t="str">
        <x:v>07_Evaluation_Methods</x:v>
      </x:c>
      <x:c r="M130" s="20" t="str">
        <x:v>07_Evaluation_Methods</x:v>
      </x:c>
      <x:c r="N130" s="20" t="str">
        <x:v>ROUGE;evaluation;summarization</x:v>
      </x:c>
      <x:c r="O130" s="20" t="str">
        <x:v>metric</x:v>
      </x:c>
      <x:c r="P130" s="20" t="str">
        <x:v>en</x:v>
      </x:c>
      <x:c r="Q130" s="20" t="str">
        <x:v>none</x:v>
      </x:c>
      <x:c r="R130" s="20" t="str">
        <x:v>not_applicable</x:v>
      </x:c>
      <x:c r="S130" s="20" t="str">
        <x:v>background</x:v>
      </x:c>
      <x:c r="T130" s="20" t="str">
        <x:v>acl_id_stable_no_doi_field</x:v>
      </x:c>
      <x:c r="U130" s="20" t="str">
        <x:v>manual_seed</x:v>
      </x:c>
      <x:c r="V130" s="20" t="str"/>
    </x:row>
    <x:row r="131">
      <x:c r="A131" s="20" t="str">
        <x:v>papineni2002_bleu_evaluation_machine</x:v>
      </x:c>
      <x:c r="B131" s="20" t="str">
        <x:v>inproceedings</x:v>
      </x:c>
      <x:c r="C131" s="20" t="str">
        <x:v>Papineni, Kishore and Roukos, Salim and Ward, Todd and Zhu, Wei-Jing</x:v>
      </x:c>
      <x:c r="D131" s="20" t="str">
        <x:v>2002</x:v>
      </x:c>
      <x:c r="E131" s="20" t="str">
        <x:v>BLEU: A Method for Automatic Evaluation of Machine Translation</x:v>
      </x:c>
      <x:c r="F131" s="20" t="str">
        <x:v>Proceedings of the 40th Annual Meeting of the Association for Computational Linguistics</x:v>
      </x:c>
      <x:c r="G131" s="20" t="str">
        <x:v>10.3115/1073083.1073135</x:v>
      </x:c>
      <x:c r="H131" s="20" t="str">
        <x:v>https://aclanthology.org/P02-1040/</x:v>
      </x:c>
      <x:c r="I131" s="20" t="str"/>
      <x:c r="J131" s="20" t="str"/>
      <x:c r="K131" s="20" t="str">
        <x:v>P02-1040</x:v>
      </x:c>
      <x:c r="L131" s="20" t="str">
        <x:v>07_Evaluation_Methods</x:v>
      </x:c>
      <x:c r="M131" s="20" t="str">
        <x:v>07_Evaluation_Methods</x:v>
      </x:c>
      <x:c r="N131" s="20" t="str">
        <x:v>BLEU;evaluation;machine-translation</x:v>
      </x:c>
      <x:c r="O131" s="20" t="str">
        <x:v>metric</x:v>
      </x:c>
      <x:c r="P131" s="20" t="str">
        <x:v>multilingual</x:v>
      </x:c>
      <x:c r="Q131" s="20" t="str">
        <x:v>none</x:v>
      </x:c>
      <x:c r="R131" s="20" t="str">
        <x:v>not_applicable</x:v>
      </x:c>
      <x:c r="S131" s="20" t="str">
        <x:v>background</x:v>
      </x:c>
      <x:c r="T131" s="20" t="str">
        <x:v>doi_present_needs_crossref_check</x:v>
      </x:c>
      <x:c r="U131" s="20" t="str">
        <x:v>manual_seed</x:v>
      </x:c>
      <x:c r="V131" s="20" t="str"/>
    </x:row>
    <x:row r="132">
      <x:c r="A132" s="20" t="str">
        <x:v>banerjee2005_meteor_metric_mt</x:v>
      </x:c>
      <x:c r="B132" s="20" t="str">
        <x:v>inproceedings</x:v>
      </x:c>
      <x:c r="C132" s="20" t="str">
        <x:v>Banerjee, Satanjeev and Lavie, Alon</x:v>
      </x:c>
      <x:c r="D132" s="20" t="str">
        <x:v>2005</x:v>
      </x:c>
      <x:c r="E132" s="20" t="str">
        <x:v>METEOR: An Automatic Metric for MT Evaluation with Improved Correlation with Human Judgments</x:v>
      </x:c>
      <x:c r="F132" s="20" t="str">
        <x:v>Proceedings of the ACL Workshop on Intrinsic and Extrinsic Evaluation Measures for Machine Translation and/or Summarization</x:v>
      </x:c>
      <x:c r="G132" s="20" t="str"/>
      <x:c r="H132" s="20" t="str">
        <x:v>https://aclanthology.org/W05-0909/</x:v>
      </x:c>
      <x:c r="I132" s="20" t="str"/>
      <x:c r="J132" s="20" t="str"/>
      <x:c r="K132" s="20" t="str">
        <x:v>W05-0909</x:v>
      </x:c>
      <x:c r="L132" s="20" t="str">
        <x:v>07_Evaluation_Methods</x:v>
      </x:c>
      <x:c r="M132" s="20" t="str">
        <x:v>07_Evaluation_Methods</x:v>
      </x:c>
      <x:c r="N132" s="20" t="str">
        <x:v>METEOR;evaluation</x:v>
      </x:c>
      <x:c r="O132" s="20" t="str">
        <x:v>metric</x:v>
      </x:c>
      <x:c r="P132" s="20" t="str">
        <x:v>multilingual</x:v>
      </x:c>
      <x:c r="Q132" s="20" t="str">
        <x:v>none</x:v>
      </x:c>
      <x:c r="R132" s="20" t="str">
        <x:v>not_applicable</x:v>
      </x:c>
      <x:c r="S132" s="20" t="str">
        <x:v>background</x:v>
      </x:c>
      <x:c r="T132" s="20" t="str">
        <x:v>acl_id_stable_no_doi_field</x:v>
      </x:c>
      <x:c r="U132" s="20" t="str">
        <x:v>manual_seed</x:v>
      </x:c>
      <x:c r="V132" s="20" t="str"/>
    </x:row>
    <x:row r="133">
      <x:c r="A133" s="20" t="str">
        <x:v>zhang2020_bertscore_evaluating_text</x:v>
      </x:c>
      <x:c r="B133" s="20" t="str">
        <x:v>inproceedings</x:v>
      </x:c>
      <x:c r="C133" s="20" t="str">
        <x:v>Zhang, Tianyi and Kishore, Varsha and Wu, Felix and Weinberger, Kilian Q. and Artzi, Yoav</x:v>
      </x:c>
      <x:c r="D133" s="20" t="str">
        <x:v>2020</x:v>
      </x:c>
      <x:c r="E133" s="20" t="str">
        <x:v>BERTScore: Evaluating Text Generation with BERT</x:v>
      </x:c>
      <x:c r="F133" s="20" t="str">
        <x:v>International Conference on Learning Representations</x:v>
      </x:c>
      <x:c r="G133" s="20" t="str"/>
      <x:c r="H133" s="20" t="str">
        <x:v>https://openreview.net/forum?id=SkeHuCVFDr</x:v>
      </x:c>
      <x:c r="I133" s="20" t="str">
        <x:v>1904.09675</x:v>
      </x:c>
      <x:c r="J133" s="20" t="str"/>
      <x:c r="K133" s="20" t="str"/>
      <x:c r="L133" s="20" t="str">
        <x:v>07_Evaluation_Methods</x:v>
      </x:c>
      <x:c r="M133" s="20" t="str">
        <x:v>07_Evaluation_Methods</x:v>
      </x:c>
      <x:c r="N133" s="20" t="str">
        <x:v>BERTScore;evaluation</x:v>
      </x:c>
      <x:c r="O133" s="20" t="str">
        <x:v>metric</x:v>
      </x:c>
      <x:c r="P133" s="20" t="str">
        <x:v>multilingual</x:v>
      </x:c>
      <x:c r="Q133" s="20" t="str">
        <x:v>semantic_similarity</x:v>
      </x:c>
      <x:c r="R133" s="20" t="str">
        <x:v>not_applicable</x:v>
      </x:c>
      <x:c r="S133" s="20" t="str">
        <x:v>background</x:v>
      </x:c>
      <x:c r="T133" s="20" t="str">
        <x:v>arxiv_stable_no_doi</x:v>
      </x:c>
      <x:c r="U133" s="20" t="str">
        <x:v>manual_seed</x:v>
      </x:c>
      <x:c r="V133" s="20" t="str"/>
    </x:row>
    <x:row r="134">
      <x:c r="A134" s="20" t="str">
        <x:v>sellam2020_bleurt_learning_robust</x:v>
      </x:c>
      <x:c r="B134" s="20" t="str">
        <x:v>inproceedings</x:v>
      </x:c>
      <x:c r="C134" s="20" t="str">
        <x:v>Sellam, Thibault and Das, Dipanjan and Parikh, Ankur</x:v>
      </x:c>
      <x:c r="D134" s="20" t="str">
        <x:v>2020</x:v>
      </x:c>
      <x:c r="E134" s="20" t="str">
        <x:v>BLEURT: Learning Robust Metrics for Text Generation</x:v>
      </x:c>
      <x:c r="F134" s="20" t="str">
        <x:v>Proceedings of the 58th Annual Meeting of the Association for Computational Linguistics</x:v>
      </x:c>
      <x:c r="G134" s="20" t="str">
        <x:v>10.18653/v1/2020.acl-main.704</x:v>
      </x:c>
      <x:c r="H134" s="20" t="str">
        <x:v>https://aclanthology.org/2020.acl-main.704/</x:v>
      </x:c>
      <x:c r="I134" s="20" t="str"/>
      <x:c r="J134" s="20" t="str"/>
      <x:c r="K134" s="20" t="str">
        <x:v>2020.acl-main.704</x:v>
      </x:c>
      <x:c r="L134" s="20" t="str">
        <x:v>07_Evaluation_Methods</x:v>
      </x:c>
      <x:c r="M134" s="20" t="str">
        <x:v>07_Evaluation_Methods</x:v>
      </x:c>
      <x:c r="N134" s="20" t="str">
        <x:v>BLEURT;evaluation</x:v>
      </x:c>
      <x:c r="O134" s="20" t="str">
        <x:v>metric</x:v>
      </x:c>
      <x:c r="P134" s="20" t="str">
        <x:v>en</x:v>
      </x:c>
      <x:c r="Q134" s="20" t="str">
        <x:v>semantic_similarity</x:v>
      </x:c>
      <x:c r="R134" s="20" t="str">
        <x:v>not_applicable</x:v>
      </x:c>
      <x:c r="S134" s="20" t="str">
        <x:v>supporting</x:v>
      </x:c>
      <x:c r="T134" s="20" t="str">
        <x:v>doi_structurally_verified_from_source</x:v>
      </x:c>
      <x:c r="U134" s="20" t="str">
        <x:v>manual_seed</x:v>
      </x:c>
      <x:c r="V134" s="20" t="str"/>
    </x:row>
    <x:row r="135">
      <x:c r="A135" s="20" t="str">
        <x:v>rei2020_comet_neural_framework</x:v>
      </x:c>
      <x:c r="B135" s="20" t="str">
        <x:v>inproceedings</x:v>
      </x:c>
      <x:c r="C135" s="20" t="str">
        <x:v>Rei, Ricardo and Stewart, Craig and Farinha, Ana C. and Lavie, Alon</x:v>
      </x:c>
      <x:c r="D135" s="20" t="str">
        <x:v>2020</x:v>
      </x:c>
      <x:c r="E135" s="20" t="str">
        <x:v>COMET: A Neural Framework for MT Evaluation</x:v>
      </x:c>
      <x:c r="F135" s="20" t="str">
        <x:v>Proceedings of EMNLP 2020</x:v>
      </x:c>
      <x:c r="G135" s="20" t="str">
        <x:v>10.18653/v1/2020.emnlp-main.213</x:v>
      </x:c>
      <x:c r="H135" s="20" t="str">
        <x:v>https://aclanthology.org/2020.emnlp-main.213/</x:v>
      </x:c>
      <x:c r="I135" s="20" t="str"/>
      <x:c r="J135" s="20" t="str"/>
      <x:c r="K135" s="20" t="str">
        <x:v>2020.emnlp-main.213</x:v>
      </x:c>
      <x:c r="L135" s="20" t="str">
        <x:v>07_Evaluation_Methods</x:v>
      </x:c>
      <x:c r="M135" s="20" t="str">
        <x:v>07_Evaluation_Methods</x:v>
      </x:c>
      <x:c r="N135" s="20" t="str">
        <x:v>COMET;evaluation;machine-translation</x:v>
      </x:c>
      <x:c r="O135" s="20" t="str">
        <x:v>metric</x:v>
      </x:c>
      <x:c r="P135" s="20" t="str">
        <x:v>multilingual</x:v>
      </x:c>
      <x:c r="Q135" s="20" t="str">
        <x:v>semantic_similarity</x:v>
      </x:c>
      <x:c r="R135" s="20" t="str">
        <x:v>not_applicable</x:v>
      </x:c>
      <x:c r="S135" s="20" t="str">
        <x:v>supporting</x:v>
      </x:c>
      <x:c r="T135" s="20" t="str">
        <x:v>doi_structurally_verified_from_source</x:v>
      </x:c>
      <x:c r="U135" s="20" t="str">
        <x:v>manual_seed</x:v>
      </x:c>
      <x:c r="V135" s="20" t="str"/>
    </x:row>
    <x:row r="136">
      <x:c r="A136" s="20" t="str">
        <x:v>landis1977_measurement_observer_agreement</x:v>
      </x:c>
      <x:c r="B136" s="20" t="str">
        <x:v>article</x:v>
      </x:c>
      <x:c r="C136" s="20" t="str">
        <x:v>Landis, J. Richard and Koch, Gary G.</x:v>
      </x:c>
      <x:c r="D136" s="20" t="str">
        <x:v>1977</x:v>
      </x:c>
      <x:c r="E136" s="20" t="str">
        <x:v>The Measurement of Observer Agreement for Categorical Data</x:v>
      </x:c>
      <x:c r="F136" s="20" t="str">
        <x:v>Biometrics</x:v>
      </x:c>
      <x:c r="G136" s="20" t="str">
        <x:v>10.2307/2529310</x:v>
      </x:c>
      <x:c r="H136" s="20" t="str">
        <x:v>https://doi.org/10.2307/2529310</x:v>
      </x:c>
      <x:c r="I136" s="20" t="str"/>
      <x:c r="J136" s="20" t="str"/>
      <x:c r="K136" s="20" t="str"/>
      <x:c r="L136" s="20" t="str">
        <x:v>07_Evaluation_Methods</x:v>
      </x:c>
      <x:c r="M136" s="20" t="str">
        <x:v>07_Evaluation_Methods</x:v>
      </x:c>
      <x:c r="N136" s="20" t="str">
        <x:v>agreement;human-eval;kappa</x:v>
      </x:c>
      <x:c r="O136" s="20" t="str">
        <x:v>inter-rater-reliability</x:v>
      </x:c>
      <x:c r="P136" s="20" t="str">
        <x:v>n/a</x:v>
      </x:c>
      <x:c r="Q136" s="20" t="str">
        <x:v>none</x:v>
      </x:c>
      <x:c r="R136" s="20" t="str">
        <x:v>not_applicable</x:v>
      </x:c>
      <x:c r="S136" s="20" t="str">
        <x:v>background</x:v>
      </x:c>
      <x:c r="T136" s="20" t="str">
        <x:v>doi_present_needs_crossref_check</x:v>
      </x:c>
      <x:c r="U136" s="20" t="str">
        <x:v>manual_seed</x:v>
      </x:c>
      <x:c r="V136" s="20" t="str"/>
    </x:row>
    <x:row r="137">
      <x:c r="A137" s="20" t="str">
        <x:v>fleiss1971_measuring_nominal_agreement</x:v>
      </x:c>
      <x:c r="B137" s="20" t="str">
        <x:v>article</x:v>
      </x:c>
      <x:c r="C137" s="20" t="str">
        <x:v>Fleiss, Joseph L.</x:v>
      </x:c>
      <x:c r="D137" s="20" t="str">
        <x:v>1971</x:v>
      </x:c>
      <x:c r="E137" s="20" t="str">
        <x:v>Measuring Nominal Scale Agreement among Many Raters</x:v>
      </x:c>
      <x:c r="F137" s="20" t="str">
        <x:v>Psychological Bulletin</x:v>
      </x:c>
      <x:c r="G137" s="20" t="str">
        <x:v>10.1037/h0031619</x:v>
      </x:c>
      <x:c r="H137" s="20" t="str">
        <x:v>https://doi.org/10.1037/h0031619</x:v>
      </x:c>
      <x:c r="I137" s="20" t="str"/>
      <x:c r="J137" s="20" t="str"/>
      <x:c r="K137" s="20" t="str"/>
      <x:c r="L137" s="20" t="str">
        <x:v>07_Evaluation_Methods</x:v>
      </x:c>
      <x:c r="M137" s="20" t="str">
        <x:v>07_Evaluation_Methods</x:v>
      </x:c>
      <x:c r="N137" s="20" t="str">
        <x:v>agreement;human-eval;kappa</x:v>
      </x:c>
      <x:c r="O137" s="20" t="str">
        <x:v>inter-rater-reliability</x:v>
      </x:c>
      <x:c r="P137" s="20" t="str">
        <x:v>n/a</x:v>
      </x:c>
      <x:c r="Q137" s="20" t="str">
        <x:v>none</x:v>
      </x:c>
      <x:c r="R137" s="20" t="str">
        <x:v>not_applicable</x:v>
      </x:c>
      <x:c r="S137" s="20" t="str">
        <x:v>background</x:v>
      </x:c>
      <x:c r="T137" s="20" t="str">
        <x:v>doi_present_needs_crossref_check</x:v>
      </x:c>
      <x:c r="U137" s="20" t="str">
        <x:v>manual_seed</x:v>
      </x:c>
      <x:c r="V137" s="20" t="str"/>
    </x:row>
    <x:row r="138">
      <x:c r="A138" s="20" t="str">
        <x:v>cohen1960_coefficient_agreement_nominal</x:v>
      </x:c>
      <x:c r="B138" s="20" t="str">
        <x:v>article</x:v>
      </x:c>
      <x:c r="C138" s="20" t="str">
        <x:v>Cohen, Jacob</x:v>
      </x:c>
      <x:c r="D138" s="20" t="str">
        <x:v>1960</x:v>
      </x:c>
      <x:c r="E138" s="20" t="str">
        <x:v>A Coefficient of Agreement for Nominal Scales</x:v>
      </x:c>
      <x:c r="F138" s="20" t="str">
        <x:v>Educational and Psychological Measurement</x:v>
      </x:c>
      <x:c r="G138" s="20" t="str">
        <x:v>10.1177/001316446002000104</x:v>
      </x:c>
      <x:c r="H138" s="20" t="str">
        <x:v>https://doi.org/10.1177/001316446002000104</x:v>
      </x:c>
      <x:c r="I138" s="20" t="str"/>
      <x:c r="J138" s="20" t="str"/>
      <x:c r="K138" s="20" t="str"/>
      <x:c r="L138" s="20" t="str">
        <x:v>07_Evaluation_Methods</x:v>
      </x:c>
      <x:c r="M138" s="20" t="str">
        <x:v>07_Evaluation_Methods</x:v>
      </x:c>
      <x:c r="N138" s="20" t="str">
        <x:v>agreement;human-eval;kappa</x:v>
      </x:c>
      <x:c r="O138" s="20" t="str">
        <x:v>inter-rater-reliability</x:v>
      </x:c>
      <x:c r="P138" s="20" t="str">
        <x:v>n/a</x:v>
      </x:c>
      <x:c r="Q138" s="20" t="str">
        <x:v>none</x:v>
      </x:c>
      <x:c r="R138" s="20" t="str">
        <x:v>not_applicable</x:v>
      </x:c>
      <x:c r="S138" s="20" t="str">
        <x:v>background</x:v>
      </x:c>
      <x:c r="T138" s="20" t="str">
        <x:v>doi_present_needs_crossref_check</x:v>
      </x:c>
      <x:c r="U138" s="20" t="str">
        <x:v>manual_seed</x:v>
      </x:c>
      <x:c r="V138" s="20" t="str"/>
    </x:row>
    <x:row r="139">
      <x:c r="A139" s="20" t="str">
        <x:v>krippendorff2011_computing_krippendorff_s</x:v>
      </x:c>
      <x:c r="B139" s="20" t="str">
        <x:v>misc</x:v>
      </x:c>
      <x:c r="C139" s="20" t="str">
        <x:v>Krippendorff, Klaus</x:v>
      </x:c>
      <x:c r="D139" s="20" t="str">
        <x:v>2011</x:v>
      </x:c>
      <x:c r="E139" s="20" t="str">
        <x:v>Computing Krippendorff's Alpha-Reliability</x:v>
      </x:c>
      <x:c r="F139" s="20" t="str">
        <x:v>Technical report</x:v>
      </x:c>
      <x:c r="G139" s="20" t="str"/>
      <x:c r="H139" s="20" t="str">
        <x:v>https://repository.upenn.edu/asc_papers/43/</x:v>
      </x:c>
      <x:c r="I139" s="20" t="str"/>
      <x:c r="J139" s="20" t="str"/>
      <x:c r="K139" s="20" t="str"/>
      <x:c r="L139" s="20" t="str">
        <x:v>07_Evaluation_Methods</x:v>
      </x:c>
      <x:c r="M139" s="20" t="str">
        <x:v>07_Evaluation_Methods</x:v>
      </x:c>
      <x:c r="N139" s="20" t="str">
        <x:v>agreement;human-eval</x:v>
      </x:c>
      <x:c r="O139" s="20" t="str">
        <x:v>inter-rater-reliability</x:v>
      </x:c>
      <x:c r="P139" s="20" t="str">
        <x:v>n/a</x:v>
      </x:c>
      <x:c r="Q139" s="20" t="str">
        <x:v>none</x:v>
      </x:c>
      <x:c r="R139" s="20" t="str">
        <x:v>not_applicable</x:v>
      </x:c>
      <x:c r="S139" s="20" t="str">
        <x:v>background</x:v>
      </x:c>
      <x:c r="T139" s="20" t="str">
        <x:v>url_stable_no_doi</x:v>
      </x:c>
      <x:c r="U139" s="20" t="str">
        <x:v>manual_seed</x:v>
      </x:c>
      <x:c r="V139" s="20" t="str"/>
    </x:row>
    <x:row r="140">
      <x:c r="A140" s="20" t="str">
        <x:v>belz2006_comparing_human_evaluation</x:v>
      </x:c>
      <x:c r="B140" s="20" t="str">
        <x:v>inproceedings</x:v>
      </x:c>
      <x:c r="C140" s="20" t="str">
        <x:v>Belz, Anya and Reiter, Ehud</x:v>
      </x:c>
      <x:c r="D140" s="20" t="str">
        <x:v>2006</x:v>
      </x:c>
      <x:c r="E140" s="20" t="str">
        <x:v>Comparing Automatic and Human Evaluation of NLG Systems</x:v>
      </x:c>
      <x:c r="F140" s="20" t="str">
        <x:v>11th Conference of the European Chapter of the Association for Computational Linguistics</x:v>
      </x:c>
      <x:c r="G140" s="20" t="str"/>
      <x:c r="H140" s="20" t="str">
        <x:v>https://aclanthology.org/E06-1040/</x:v>
      </x:c>
      <x:c r="I140" s="20" t="str"/>
      <x:c r="J140" s="20" t="str"/>
      <x:c r="K140" s="20" t="str">
        <x:v>E06-1040</x:v>
      </x:c>
      <x:c r="L140" s="20" t="str">
        <x:v>07_Evaluation_Methods</x:v>
      </x:c>
      <x:c r="M140" s="20" t="str">
        <x:v>07_Evaluation_Methods</x:v>
      </x:c>
      <x:c r="N140" s="20" t="str">
        <x:v>NLG;evaluation;human-eval</x:v>
      </x:c>
      <x:c r="O140" s="20" t="str">
        <x:v>evaluation</x:v>
      </x:c>
      <x:c r="P140" s="20" t="str">
        <x:v>en</x:v>
      </x:c>
      <x:c r="Q140" s="20" t="str">
        <x:v>none</x:v>
      </x:c>
      <x:c r="R140" s="20" t="str">
        <x:v>not_applicable</x:v>
      </x:c>
      <x:c r="S140" s="20" t="str">
        <x:v>background</x:v>
      </x:c>
      <x:c r="T140" s="20" t="str">
        <x:v>acl_id_stable_no_doi_field</x:v>
      </x:c>
      <x:c r="U140" s="20" t="str">
        <x:v>manual_seed</x:v>
      </x:c>
      <x:c r="V140" s="20" t="str"/>
    </x:row>
    <x:row r="141">
      <x:c r="A141" s="20" t="str">
        <x:v>vanderlee2019_best_practices_human</x:v>
      </x:c>
      <x:c r="B141" s="20" t="str">
        <x:v>inproceedings</x:v>
      </x:c>
      <x:c r="C141" s="20" t="str">
        <x:v>van der Lee, Chris and Gatt, Albert and van Miltenburg, Emiel and Wubben, Sander and Krahmer, Emiel</x:v>
      </x:c>
      <x:c r="D141" s="20" t="str">
        <x:v>2019</x:v>
      </x:c>
      <x:c r="E141" s="20" t="str">
        <x:v>Best Practices for the Human Evaluation of Automatically Generated Text</x:v>
      </x:c>
      <x:c r="F141" s="20" t="str">
        <x:v>Proceedings of the 12th International Conference on Natural Language Generation</x:v>
      </x:c>
      <x:c r="G141" s="20" t="str">
        <x:v>10.18653/v1/W19-8643</x:v>
      </x:c>
      <x:c r="H141" s="20" t="str">
        <x:v>https://aclanthology.org/W19-8643/</x:v>
      </x:c>
      <x:c r="I141" s="20" t="str"/>
      <x:c r="J141" s="20" t="str"/>
      <x:c r="K141" s="20" t="str">
        <x:v>W19-8643</x:v>
      </x:c>
      <x:c r="L141" s="20" t="str">
        <x:v>07_Evaluation_Methods</x:v>
      </x:c>
      <x:c r="M141" s="20" t="str">
        <x:v>07_Evaluation_Methods</x:v>
      </x:c>
      <x:c r="N141" s="20" t="str">
        <x:v>NLG;guidelines;human-eval</x:v>
      </x:c>
      <x:c r="O141" s="20" t="str">
        <x:v>evaluation</x:v>
      </x:c>
      <x:c r="P141" s="20" t="str">
        <x:v>en</x:v>
      </x:c>
      <x:c r="Q141" s="20" t="str">
        <x:v>none</x:v>
      </x:c>
      <x:c r="R141" s="20" t="str">
        <x:v>not_applicable</x:v>
      </x:c>
      <x:c r="S141" s="20" t="str">
        <x:v>background</x:v>
      </x:c>
      <x:c r="T141" s="20" t="str">
        <x:v>doi_structurally_verified_from_source</x:v>
      </x:c>
      <x:c r="U141" s="20" t="str">
        <x:v>manual_seed</x:v>
      </x:c>
      <x:c r="V141" s="20" t="str"/>
    </x:row>
    <x:row r="142">
      <x:c r="A142" s="20" t="str">
        <x:v>howcroft2020_twenty_years_confusion</x:v>
      </x:c>
      <x:c r="B142" s="20" t="str">
        <x:v>inproceedings</x:v>
      </x:c>
      <x:c r="C142" s="20" t="str">
        <x:v>Howcroft, David M. and Belz, Anya and Clinciu, Miruna and Gkatzia, Dimitra and Hasan, Sadid A. and Mahamood, Saad and Mille, Simon and van Miltenburg, Emiel and Santhanam, Sashank and Rieser, Verena</x:v>
      </x:c>
      <x:c r="D142" s="20" t="str">
        <x:v>2020</x:v>
      </x:c>
      <x:c r="E142" s="20" t="str">
        <x:v>Twenty Years of Confusion in Human Evaluation: NLG Needs Evaluation Sheets and Standardised Definitions</x:v>
      </x:c>
      <x:c r="F142" s="20" t="str">
        <x:v>Proceedings of the 13th International Conference on Natural Language Generation</x:v>
      </x:c>
      <x:c r="G142" s="20" t="str">
        <x:v>10.18653/v1/2020.inlg-1.23</x:v>
      </x:c>
      <x:c r="H142" s="20" t="str">
        <x:v>https://aclanthology.org/2020.inlg-1.23/</x:v>
      </x:c>
      <x:c r="I142" s="20" t="str"/>
      <x:c r="J142" s="20" t="str"/>
      <x:c r="K142" s="20" t="str">
        <x:v>2020.inlg-1.23</x:v>
      </x:c>
      <x:c r="L142" s="20" t="str">
        <x:v>07_Evaluation_Methods</x:v>
      </x:c>
      <x:c r="M142" s="20" t="str">
        <x:v>07_Evaluation_Methods</x:v>
      </x:c>
      <x:c r="N142" s="20" t="str">
        <x:v>NLG;human-eval;survey</x:v>
      </x:c>
      <x:c r="O142" s="20" t="str">
        <x:v>evaluation</x:v>
      </x:c>
      <x:c r="P142" s="20" t="str">
        <x:v>en</x:v>
      </x:c>
      <x:c r="Q142" s="20" t="str">
        <x:v>none</x:v>
      </x:c>
      <x:c r="R142" s="20" t="str">
        <x:v>not_applicable</x:v>
      </x:c>
      <x:c r="S142" s="20" t="str">
        <x:v>background</x:v>
      </x:c>
      <x:c r="T142" s="20" t="str">
        <x:v>doi_structurally_verified_from_source</x:v>
      </x:c>
      <x:c r="U142" s="20" t="str">
        <x:v>manual_seed</x:v>
      </x:c>
      <x:c r="V142" s="20" t="str"/>
    </x:row>
    <x:row r="143">
      <x:c r="A143" s="20" t="str">
        <x:v>flesch1948_readability_yardstick</x:v>
      </x:c>
      <x:c r="B143" s="20" t="str">
        <x:v>article</x:v>
      </x:c>
      <x:c r="C143" s="20" t="str">
        <x:v>Flesch, Rudolf</x:v>
      </x:c>
      <x:c r="D143" s="20" t="str">
        <x:v>1948</x:v>
      </x:c>
      <x:c r="E143" s="20" t="str">
        <x:v>A New Readability Yardstick</x:v>
      </x:c>
      <x:c r="F143" s="20" t="str">
        <x:v>Journal of Applied Psychology</x:v>
      </x:c>
      <x:c r="G143" s="20" t="str">
        <x:v>10.1037/h0057532</x:v>
      </x:c>
      <x:c r="H143" s="20" t="str">
        <x:v>https://doi.org/10.1037/h0057532</x:v>
      </x:c>
      <x:c r="I143" s="20" t="str"/>
      <x:c r="J143" s="20" t="str"/>
      <x:c r="K143" s="20" t="str"/>
      <x:c r="L143" s="20" t="str">
        <x:v>07_Evaluation_Methods</x:v>
      </x:c>
      <x:c r="M143" s="20" t="str">
        <x:v>07_Evaluation_Methods</x:v>
      </x:c>
      <x:c r="N143" s="20" t="str">
        <x:v>FKGL;readability</x:v>
      </x:c>
      <x:c r="O143" s="20" t="str">
        <x:v>readability</x:v>
      </x:c>
      <x:c r="P143" s="20" t="str">
        <x:v>en</x:v>
      </x:c>
      <x:c r="Q143" s="20" t="str">
        <x:v>none</x:v>
      </x:c>
      <x:c r="R143" s="20" t="str">
        <x:v>not_applicable</x:v>
      </x:c>
      <x:c r="S143" s="20" t="str">
        <x:v>background</x:v>
      </x:c>
      <x:c r="T143" s="20" t="str">
        <x:v>doi_present_needs_crossref_check</x:v>
      </x:c>
      <x:c r="U143" s="20" t="str">
        <x:v>manual_seed</x:v>
      </x:c>
      <x:c r="V143" s="20" t="str"/>
    </x:row>
    <x:row r="144">
      <x:c r="A144" s="20" t="str">
        <x:v>kincaid1975_derivation_readability_formulas</x:v>
      </x:c>
      <x:c r="B144" s="20" t="str">
        <x:v>techreport</x:v>
      </x:c>
      <x:c r="C144" s="20" t="str">
        <x:v>Kincaid, J. Peter and Fishburne, Robert P. and Rogers, Richard L. and Chissom, Brad S.</x:v>
      </x:c>
      <x:c r="D144" s="20" t="str">
        <x:v>1975</x:v>
      </x:c>
      <x:c r="E144" s="20" t="str">
        <x:v>Derivation of New Readability Formulas for Navy Enlisted Personnel</x:v>
      </x:c>
      <x:c r="F144" s="20" t="str">
        <x:v>Research Branch Report</x:v>
      </x:c>
      <x:c r="G144" s="20" t="str"/>
      <x:c r="H144" s="20" t="str">
        <x:v>https://stars.library.ucf.edu/istlibrary/56/</x:v>
      </x:c>
      <x:c r="I144" s="20" t="str"/>
      <x:c r="J144" s="20" t="str"/>
      <x:c r="K144" s="20" t="str"/>
      <x:c r="L144" s="20" t="str">
        <x:v>07_Evaluation_Methods</x:v>
      </x:c>
      <x:c r="M144" s="20" t="str">
        <x:v>07_Evaluation_Methods</x:v>
      </x:c>
      <x:c r="N144" s="20" t="str">
        <x:v>FKGL;readability</x:v>
      </x:c>
      <x:c r="O144" s="20" t="str">
        <x:v>readability</x:v>
      </x:c>
      <x:c r="P144" s="20" t="str">
        <x:v>en</x:v>
      </x:c>
      <x:c r="Q144" s="20" t="str">
        <x:v>none</x:v>
      </x:c>
      <x:c r="R144" s="20" t="str">
        <x:v>not_applicable</x:v>
      </x:c>
      <x:c r="S144" s="20" t="str">
        <x:v>background</x:v>
      </x:c>
      <x:c r="T144" s="20" t="str">
        <x:v>url_stable_no_doi</x:v>
      </x:c>
      <x:c r="U144" s="20" t="str">
        <x:v>manual_seed</x:v>
      </x:c>
      <x:c r="V144" s="20" t="str"/>
    </x:row>
    <x:row r="145">
      <x:c r="A145" s="20" t="str">
        <x:v>mclaughlin1969_smog_grading_readability</x:v>
      </x:c>
      <x:c r="B145" s="20" t="str">
        <x:v>article</x:v>
      </x:c>
      <x:c r="C145" s="20" t="str">
        <x:v>McLaughlin, G. Harry</x:v>
      </x:c>
      <x:c r="D145" s="20" t="str">
        <x:v>1969</x:v>
      </x:c>
      <x:c r="E145" s="20" t="str">
        <x:v>SMOG Grading: A New Readability Formula</x:v>
      </x:c>
      <x:c r="F145" s="20" t="str">
        <x:v>Journal of Reading</x:v>
      </x:c>
      <x:c r="G145" s="20" t="str"/>
      <x:c r="H145" s="20" t="str">
        <x:v>https://www.jstor.org/stable/40011226</x:v>
      </x:c>
      <x:c r="I145" s="20" t="str"/>
      <x:c r="J145" s="20" t="str"/>
      <x:c r="K145" s="20" t="str"/>
      <x:c r="L145" s="20" t="str">
        <x:v>07_Evaluation_Methods</x:v>
      </x:c>
      <x:c r="M145" s="20" t="str">
        <x:v>07_Evaluation_Methods</x:v>
      </x:c>
      <x:c r="N145" s="20" t="str">
        <x:v>SMOG;readability</x:v>
      </x:c>
      <x:c r="O145" s="20" t="str">
        <x:v>readability</x:v>
      </x:c>
      <x:c r="P145" s="20" t="str">
        <x:v>en</x:v>
      </x:c>
      <x:c r="Q145" s="20" t="str">
        <x:v>none</x:v>
      </x:c>
      <x:c r="R145" s="20" t="str">
        <x:v>not_applicable</x:v>
      </x:c>
      <x:c r="S145" s="20" t="str">
        <x:v>background</x:v>
      </x:c>
      <x:c r="T145" s="20" t="str">
        <x:v>url_stable_no_doi</x:v>
      </x:c>
      <x:c r="U145" s="20" t="str">
        <x:v>manual_seed</x:v>
      </x:c>
      <x:c r="V145" s="20" t="str"/>
    </x:row>
    <x:row r="146">
      <x:c r="A146" s="20" t="str">
        <x:v>dale1948_formula_predicting_readability</x:v>
      </x:c>
      <x:c r="B146" s="20" t="str">
        <x:v>article</x:v>
      </x:c>
      <x:c r="C146" s="20" t="str">
        <x:v>Dale, Edgar and Chall, Jeanne S.</x:v>
      </x:c>
      <x:c r="D146" s="20" t="str">
        <x:v>1948</x:v>
      </x:c>
      <x:c r="E146" s="20" t="str">
        <x:v>A Formula for Predicting Readability</x:v>
      </x:c>
      <x:c r="F146" s="20" t="str">
        <x:v>Educational Research Bulletin</x:v>
      </x:c>
      <x:c r="G146" s="20" t="str"/>
      <x:c r="H146" s="20" t="str">
        <x:v>https://www.jstor.org/stable/1473169</x:v>
      </x:c>
      <x:c r="I146" s="20" t="str"/>
      <x:c r="J146" s="20" t="str"/>
      <x:c r="K146" s="20" t="str"/>
      <x:c r="L146" s="20" t="str">
        <x:v>07_Evaluation_Methods</x:v>
      </x:c>
      <x:c r="M146" s="20" t="str">
        <x:v>07_Evaluation_Methods</x:v>
      </x:c>
      <x:c r="N146" s="20" t="str">
        <x:v>readability</x:v>
      </x:c>
      <x:c r="O146" s="20" t="str">
        <x:v>readability</x:v>
      </x:c>
      <x:c r="P146" s="20" t="str">
        <x:v>en</x:v>
      </x:c>
      <x:c r="Q146" s="20" t="str">
        <x:v>none</x:v>
      </x:c>
      <x:c r="R146" s="20" t="str">
        <x:v>not_applicable</x:v>
      </x:c>
      <x:c r="S146" s="20" t="str">
        <x:v>background</x:v>
      </x:c>
      <x:c r="T146" s="20" t="str">
        <x:v>url_stable_no_doi</x:v>
      </x:c>
      <x:c r="U146" s="20" t="str">
        <x:v>manual_seed</x:v>
      </x:c>
      <x:c r="V146" s="20" t="str"/>
    </x:row>
    <x:row r="147">
      <x:c r="A147" s="20" t="str">
        <x:v>badarudeen2010_assessing_readability_patient</x:v>
      </x:c>
      <x:c r="B147" s="20" t="str">
        <x:v>article</x:v>
      </x:c>
      <x:c r="C147" s="20" t="str">
        <x:v>Badarudeen, Sameer and Sabharwal, Sanjeev</x:v>
      </x:c>
      <x:c r="D147" s="20" t="str">
        <x:v>2010</x:v>
      </x:c>
      <x:c r="E147" s="20" t="str">
        <x:v>Assessing Readability of Patient Education Materials: Current Role in Orthopaedics</x:v>
      </x:c>
      <x:c r="F147" s="20" t="str">
        <x:v>Clinical Orthopaedics and Related Research</x:v>
      </x:c>
      <x:c r="G147" s="20" t="str">
        <x:v>10.1007/s11999-010-1380-y</x:v>
      </x:c>
      <x:c r="H147" s="20" t="str">
        <x:v>https://doi.org/10.1007/s11999-010-1380-y</x:v>
      </x:c>
      <x:c r="I147" s="20" t="str"/>
      <x:c r="J147" s="20" t="str"/>
      <x:c r="K147" s="20" t="str"/>
      <x:c r="L147" s="20" t="str">
        <x:v>07_Evaluation_Methods</x:v>
      </x:c>
      <x:c r="M147" s="20" t="str">
        <x:v>07_Evaluation_Methods</x:v>
      </x:c>
      <x:c r="N147" s="20" t="str">
        <x:v>patient-education;readability</x:v>
      </x:c>
      <x:c r="O147" s="20" t="str">
        <x:v>readability</x:v>
      </x:c>
      <x:c r="P147" s="20" t="str">
        <x:v>en</x:v>
      </x:c>
      <x:c r="Q147" s="20" t="str">
        <x:v>none</x:v>
      </x:c>
      <x:c r="R147" s="20" t="str">
        <x:v>not_applicable</x:v>
      </x:c>
      <x:c r="S147" s="20" t="str">
        <x:v>background</x:v>
      </x:c>
      <x:c r="T147" s="20" t="str">
        <x:v>doi_present_needs_crossref_check</x:v>
      </x:c>
      <x:c r="U147" s="20" t="str">
        <x:v>manual_seed</x:v>
      </x:c>
      <x:c r="V147" s="20" t="str"/>
    </x:row>
    <x:row r="148">
      <x:c r="A148" s="20" t="str">
        <x:v>weiss2003_health_literacy_manual</x:v>
      </x:c>
      <x:c r="B148" s="20" t="str">
        <x:v>book</x:v>
      </x:c>
      <x:c r="C148" s="20" t="str">
        <x:v>Weiss, Barry D.</x:v>
      </x:c>
      <x:c r="D148" s="20" t="str">
        <x:v>2003</x:v>
      </x:c>
      <x:c r="E148" s="20" t="str">
        <x:v>Health Literacy: A Manual for Clinicians</x:v>
      </x:c>
      <x:c r="F148" s="20" t="str">
        <x:v>American Medical Association Foundation</x:v>
      </x:c>
      <x:c r="G148" s="20" t="str"/>
      <x:c r="H148" s="20" t="str">
        <x:v>https://www.ama-assn.org/</x:v>
      </x:c>
      <x:c r="I148" s="20" t="str"/>
      <x:c r="J148" s="20" t="str"/>
      <x:c r="K148" s="20" t="str"/>
      <x:c r="L148" s="20" t="str">
        <x:v>07_Evaluation_Methods</x:v>
      </x:c>
      <x:c r="M148" s="20" t="str">
        <x:v>07_Evaluation_Methods</x:v>
      </x:c>
      <x:c r="N148" s="20" t="str">
        <x:v>health-literacy;patient-education</x:v>
      </x:c>
      <x:c r="O148" s="20" t="str">
        <x:v>background</x:v>
      </x:c>
      <x:c r="P148" s="20" t="str">
        <x:v>en</x:v>
      </x:c>
      <x:c r="Q148" s="20" t="str">
        <x:v>none</x:v>
      </x:c>
      <x:c r="R148" s="20" t="str">
        <x:v>not_applicable</x:v>
      </x:c>
      <x:c r="S148" s="20" t="str">
        <x:v>background</x:v>
      </x:c>
      <x:c r="T148" s="20" t="str">
        <x:v>url_stable_no_doi</x:v>
      </x:c>
      <x:c r="U148" s="20" t="str">
        <x:v>manual_seed</x:v>
      </x:c>
      <x:c r="V148" s="20" t="str"/>
    </x:row>
    <x:row r="149">
      <x:c r="A149" s="20" t="str">
        <x:v>berkman2011_low_health_literacy</x:v>
      </x:c>
      <x:c r="B149" s="20" t="str">
        <x:v>article</x:v>
      </x:c>
      <x:c r="C149" s="20" t="str">
        <x:v>Berkman, Nancy D. and Sheridan, Stacey L. and Donahue, Katrina E. and Halpern, David J. and Crotty, Karen</x:v>
      </x:c>
      <x:c r="D149" s="20" t="str">
        <x:v>2011</x:v>
      </x:c>
      <x:c r="E149" s="20" t="str">
        <x:v>Low Health Literacy and Health Outcomes: An Updated Systematic Review</x:v>
      </x:c>
      <x:c r="F149" s="20" t="str">
        <x:v>Annals of Internal Medicine</x:v>
      </x:c>
      <x:c r="G149" s="20" t="str">
        <x:v>10.7326/0003-4819-155-2-201107190-00005</x:v>
      </x:c>
      <x:c r="H149" s="20" t="str">
        <x:v>https://www.acpjournals.org/doi/10.7326/0003-4819-155-2-201107190-00005</x:v>
      </x:c>
      <x:c r="I149" s="20" t="str"/>
      <x:c r="J149" s="20" t="str"/>
      <x:c r="K149" s="20" t="str"/>
      <x:c r="L149" s="20" t="str">
        <x:v>07_Evaluation_Methods</x:v>
      </x:c>
      <x:c r="M149" s="20" t="str">
        <x:v>07_Evaluation_Methods</x:v>
      </x:c>
      <x:c r="N149" s="20" t="str">
        <x:v>health-literacy;systematic-review</x:v>
      </x:c>
      <x:c r="O149" s="20" t="str">
        <x:v>background</x:v>
      </x:c>
      <x:c r="P149" s="20" t="str">
        <x:v>en</x:v>
      </x:c>
      <x:c r="Q149" s="20" t="str">
        <x:v>none</x:v>
      </x:c>
      <x:c r="R149" s="20" t="str">
        <x:v>not_applicable</x:v>
      </x:c>
      <x:c r="S149" s="20" t="str">
        <x:v>background</x:v>
      </x:c>
      <x:c r="T149" s="20" t="str">
        <x:v>doi_present_needs_crossref_check</x:v>
      </x:c>
      <x:c r="U149" s="20" t="str">
        <x:v>manual_seed</x:v>
      </x:c>
      <x:c r="V149" s="20" t="str"/>
    </x:row>
    <x:row r="150">
      <x:c r="A150" s="20" t="str">
        <x:v>page2021_prisma_2020_statement</x:v>
      </x:c>
      <x:c r="B150" s="20" t="str">
        <x:v>article</x:v>
      </x:c>
      <x:c r="C150" s="20" t="str">
        <x:v>Page, Matthew J. and McKenzie, Joanne E. and Bossuyt, Patrick M. and Boutron, Isabelle and Hoffmann, Tammy C. and Mulrow, Cynthia D. and Shamseer, Larissa and Tetzlaff, Jennifer M. and Akl, Elie A. and Brennan, Sue E. and Chou, Roger and Glanville, Julie and Grimshaw, Jeremy M. and Hróbjartsson, Asbjørn and Lalu, Manoj M. and Li, Tianjing and Loder, Elizabeth W. and Mayo-Wilson, Evan and McDonald, Steve and McGuinness, Luke A. and Stewart, Lesley A. and Thomas, James and Tricco, Andrea C. and Welch, Vivian A. and Whiting, Penny and Moher, David</x:v>
      </x:c>
      <x:c r="D150" s="20" t="str">
        <x:v>2021</x:v>
      </x:c>
      <x:c r="E150" s="20" t="str">
        <x:v>The PRISMA 2020 Statement: An Updated Guideline for Reporting Systematic Reviews</x:v>
      </x:c>
      <x:c r="F150" s="20" t="str">
        <x:v>BMJ</x:v>
      </x:c>
      <x:c r="G150" s="20" t="str">
        <x:v>10.1136/bmj.n71</x:v>
      </x:c>
      <x:c r="H150" s="20" t="str">
        <x:v>https://www.bmj.com/content/372/bmj.n71</x:v>
      </x:c>
      <x:c r="I150" s="20" t="str"/>
      <x:c r="J150" s="20" t="str"/>
      <x:c r="K150" s="20" t="str"/>
      <x:c r="L150" s="20" t="str">
        <x:v>08_Systematic_Review_Methods</x:v>
      </x:c>
      <x:c r="M150" s="20" t="str">
        <x:v>08_Systematic_Review_Methods</x:v>
      </x:c>
      <x:c r="N150" s="20" t="str">
        <x:v>PRISMA;systematic-review</x:v>
      </x:c>
      <x:c r="O150" s="20" t="str">
        <x:v>methodology</x:v>
      </x:c>
      <x:c r="P150" s="20" t="str">
        <x:v>n/a</x:v>
      </x:c>
      <x:c r="Q150" s="20" t="str">
        <x:v>none</x:v>
      </x:c>
      <x:c r="R150" s="20" t="str">
        <x:v>not_applicable</x:v>
      </x:c>
      <x:c r="S150" s="20" t="str">
        <x:v>method</x:v>
      </x:c>
      <x:c r="T150" s="20" t="str">
        <x:v>doi_structurally_verified_from_source</x:v>
      </x:c>
      <x:c r="U150" s="20" t="str">
        <x:v>manual_seed</x:v>
      </x:c>
      <x:c r="V150" s="20" t="str"/>
    </x:row>
    <x:row r="151">
      <x:c r="A151" s="20" t="str">
        <x:v>rethlefsen2021_prisma_s_extension</x:v>
      </x:c>
      <x:c r="B151" s="20" t="str">
        <x:v>article</x:v>
      </x:c>
      <x:c r="C151" s="20" t="str">
        <x:v>Rethlefsen, Melissa L. and Kirtley, Shona and Waffenschmidt, Siw and Ayala, Ana Patricia and Moher, David and Page, Matthew J. and Koffel, Jonathan B.</x:v>
      </x:c>
      <x:c r="D151" s="20" t="str">
        <x:v>2021</x:v>
      </x:c>
      <x:c r="E151" s="20" t="str">
        <x:v>PRISMA-S: An Extension to the PRISMA Statement for Reporting Literature Searches in Systematic Reviews</x:v>
      </x:c>
      <x:c r="F151" s="20" t="str">
        <x:v>Systematic Reviews</x:v>
      </x:c>
      <x:c r="G151" s="20" t="str">
        <x:v>10.1186/s13643-020-01542-z</x:v>
      </x:c>
      <x:c r="H151" s="20" t="str">
        <x:v>https://systematicreviewsjournal.biomedcentral.com/articles/10.1186/s13643-020-01542-z</x:v>
      </x:c>
      <x:c r="I151" s="20" t="str"/>
      <x:c r="J151" s="20" t="str"/>
      <x:c r="K151" s="20" t="str"/>
      <x:c r="L151" s="20" t="str">
        <x:v>08_Systematic_Review_Methods</x:v>
      </x:c>
      <x:c r="M151" s="20" t="str">
        <x:v>08_Systematic_Review_Methods</x:v>
      </x:c>
      <x:c r="N151" s="20" t="str">
        <x:v>PRISMA-S;search;systematic-review</x:v>
      </x:c>
      <x:c r="O151" s="20" t="str">
        <x:v>methodology</x:v>
      </x:c>
      <x:c r="P151" s="20" t="str">
        <x:v>n/a</x:v>
      </x:c>
      <x:c r="Q151" s="20" t="str">
        <x:v>none</x:v>
      </x:c>
      <x:c r="R151" s="20" t="str">
        <x:v>not_applicable</x:v>
      </x:c>
      <x:c r="S151" s="20" t="str">
        <x:v>method</x:v>
      </x:c>
      <x:c r="T151" s="20" t="str">
        <x:v>doi_structurally_verified_from_source</x:v>
      </x:c>
      <x:c r="U151" s="20" t="str">
        <x:v>manual_seed</x:v>
      </x:c>
      <x:c r="V151" s="20" t="str"/>
    </x:row>
    <x:row r="152">
      <x:c r="A152" s="20" t="str">
        <x:v>campbell2020_synthesis_without_meta</x:v>
      </x:c>
      <x:c r="B152" s="20" t="str">
        <x:v>article</x:v>
      </x:c>
      <x:c r="C152" s="20" t="str">
        <x:v>Campbell, Mhairi and McKenzie, Joanne E. and Sowden, Amanda and Katikireddi, Srinivasa Vittal and Brennan, Sue E. and Ellis, Simon and Hartmann-Boyce, Jamie and Ryan, Rebecca and Shepperd, Sasha and Thomas, James and Welch, Vivian and Thomson, Hilary</x:v>
      </x:c>
      <x:c r="D152" s="20" t="str">
        <x:v>2020</x:v>
      </x:c>
      <x:c r="E152" s="20" t="str">
        <x:v>Synthesis without Meta-analysis (SWiM) in Systematic Reviews: Reporting Guideline</x:v>
      </x:c>
      <x:c r="F152" s="20" t="str">
        <x:v>BMJ</x:v>
      </x:c>
      <x:c r="G152" s="20" t="str">
        <x:v>10.1136/bmj.l6890</x:v>
      </x:c>
      <x:c r="H152" s="20" t="str">
        <x:v>https://www.bmj.com/content/368/bmj.l6890</x:v>
      </x:c>
      <x:c r="I152" s="20" t="str"/>
      <x:c r="J152" s="20" t="str"/>
      <x:c r="K152" s="20" t="str"/>
      <x:c r="L152" s="20" t="str">
        <x:v>08_Systematic_Review_Methods</x:v>
      </x:c>
      <x:c r="M152" s="20" t="str">
        <x:v>08_Systematic_Review_Methods</x:v>
      </x:c>
      <x:c r="N152" s="20" t="str">
        <x:v>SWiM;narrative-synthesis;systematic-review</x:v>
      </x:c>
      <x:c r="O152" s="20" t="str">
        <x:v>methodology</x:v>
      </x:c>
      <x:c r="P152" s="20" t="str">
        <x:v>n/a</x:v>
      </x:c>
      <x:c r="Q152" s="20" t="str">
        <x:v>none</x:v>
      </x:c>
      <x:c r="R152" s="20" t="str">
        <x:v>not_applicable</x:v>
      </x:c>
      <x:c r="S152" s="20" t="str">
        <x:v>method</x:v>
      </x:c>
      <x:c r="T152" s="20" t="str">
        <x:v>doi_structurally_verified_from_source</x:v>
      </x:c>
      <x:c r="U152" s="20" t="str">
        <x:v>manual_seed</x:v>
      </x:c>
      <x:c r="V152" s="20" t="str"/>
    </x:row>
    <x:row r="153">
      <x:c r="A153" s="20" t="str">
        <x:v>guyatt2008_grade_emerging_consensus</x:v>
      </x:c>
      <x:c r="B153" s="20" t="str">
        <x:v>article</x:v>
      </x:c>
      <x:c r="C153" s="20" t="str">
        <x:v>Guyatt, Gordon H. and Oxman, Andrew D. and Vist, Gunn E. and Kunz, Regina and Falck-Ytter, Yngve and Alonso-Coello, Pablo and Schünemann, Holger J.</x:v>
      </x:c>
      <x:c r="D153" s="20" t="str">
        <x:v>2008</x:v>
      </x:c>
      <x:c r="E153" s="20" t="str">
        <x:v>GRADE: An Emerging Consensus on Rating Quality of Evidence and Strength of Recommendations</x:v>
      </x:c>
      <x:c r="F153" s="20" t="str">
        <x:v>BMJ</x:v>
      </x:c>
      <x:c r="G153" s="20" t="str">
        <x:v>10.1136/bmj.39489.470347.AD</x:v>
      </x:c>
      <x:c r="H153" s="20" t="str">
        <x:v>https://www.bmj.com/content/336/7650/924</x:v>
      </x:c>
      <x:c r="I153" s="20" t="str"/>
      <x:c r="J153" s="20" t="str"/>
      <x:c r="K153" s="20" t="str"/>
      <x:c r="L153" s="20" t="str">
        <x:v>08_Systematic_Review_Methods</x:v>
      </x:c>
      <x:c r="M153" s="20" t="str">
        <x:v>08_Systematic_Review_Methods</x:v>
      </x:c>
      <x:c r="N153" s="20" t="str">
        <x:v>GRADE;systematic-review</x:v>
      </x:c>
      <x:c r="O153" s="20" t="str">
        <x:v>methodology</x:v>
      </x:c>
      <x:c r="P153" s="20" t="str">
        <x:v>n/a</x:v>
      </x:c>
      <x:c r="Q153" s="20" t="str">
        <x:v>none</x:v>
      </x:c>
      <x:c r="R153" s="20" t="str">
        <x:v>not_applicable</x:v>
      </x:c>
      <x:c r="S153" s="20" t="str">
        <x:v>method</x:v>
      </x:c>
      <x:c r="T153" s="20" t="str">
        <x:v>doi_structurally_verified_from_source</x:v>
      </x:c>
      <x:c r="U153" s="20" t="str">
        <x:v>manual_seed</x:v>
      </x:c>
      <x:c r="V153" s="20" t="str"/>
    </x:row>
    <x:row r="154">
      <x:c r="A154" s="20" t="str">
        <x:v>sterne2019_rob_2_revised</x:v>
      </x:c>
      <x:c r="B154" s="20" t="str">
        <x:v>article</x:v>
      </x:c>
      <x:c r="C154" s="20" t="str">
        <x:v>Sterne, Jonathan A. C. and Savović, Jelena and Page, Matthew J. and Elbers, Roy G. and Blencowe, Natalie S. and Boutron, Isabelle and Cates, Christopher J. and Cheng, H.-Y. and Corbett, Mark S. and Eldridge, Sandra M. and Hernán, Miguel A. and Hopewell, Sally and Hróbjartsson, Asbjørn and Junqueira, Daniela R. and Jüni, Peter and Kirkham, Jamie J. and Lasserson, Toby and Li, Tianjing and McAleenan, Alexandra and Reeves, Barnaby C. and Shepperd, Sasha and Shrier, Ian and Stewart, Lesley A. and Tilling, Kate and White, Ian R. and Whiting, Penny F. and Higgins, Julian P. T.</x:v>
      </x:c>
      <x:c r="D154" s="20" t="str">
        <x:v>2019</x:v>
      </x:c>
      <x:c r="E154" s="20" t="str">
        <x:v>RoB 2: A Revised Tool for Assessing Risk of Bias in Randomised Trials</x:v>
      </x:c>
      <x:c r="F154" s="20" t="str">
        <x:v>BMJ</x:v>
      </x:c>
      <x:c r="G154" s="20" t="str">
        <x:v>10.1136/bmj.l4898</x:v>
      </x:c>
      <x:c r="H154" s="20" t="str">
        <x:v>https://www.bmj.com/content/366/bmj.l4898</x:v>
      </x:c>
      <x:c r="I154" s="20" t="str"/>
      <x:c r="J154" s="20" t="str"/>
      <x:c r="K154" s="20" t="str"/>
      <x:c r="L154" s="20" t="str">
        <x:v>08_Systematic_Review_Methods</x:v>
      </x:c>
      <x:c r="M154" s="20" t="str">
        <x:v>08_Systematic_Review_Methods</x:v>
      </x:c>
      <x:c r="N154" s="20" t="str">
        <x:v>RoB2;risk-of-bias</x:v>
      </x:c>
      <x:c r="O154" s="20" t="str">
        <x:v>methodology</x:v>
      </x:c>
      <x:c r="P154" s="20" t="str">
        <x:v>n/a</x:v>
      </x:c>
      <x:c r="Q154" s="20" t="str">
        <x:v>none</x:v>
      </x:c>
      <x:c r="R154" s="20" t="str">
        <x:v>not_applicable</x:v>
      </x:c>
      <x:c r="S154" s="20" t="str">
        <x:v>method</x:v>
      </x:c>
      <x:c r="T154" s="20" t="str">
        <x:v>doi_structurally_verified_from_source</x:v>
      </x:c>
      <x:c r="U154" s="20" t="str">
        <x:v>manual_seed</x:v>
      </x:c>
      <x:c r="V154" s="20" t="str"/>
    </x:row>
    <x:row r="155">
      <x:c r="A155" s="20" t="str">
        <x:v>sterne2016_robins_i_tool</x:v>
      </x:c>
      <x:c r="B155" s="20" t="str">
        <x:v>article</x:v>
      </x:c>
      <x:c r="C155" s="20" t="str">
        <x:v>Sterne, Jonathan A. C. and Hernán, Miguel A. and Reeves, Barnaby C. and Savović, Jelena and Berkman, Nancy D. and Viswanathan, Meera and Henry, David and Altman, Douglas G. and Ansari, Mohammed T. and Boutron, Isabelle and Carpenter, James R. and Chan, An-Wen and Churchill, Rachel and Deeks, Jonathan J. and Hróbjartsson, Asbjørn and Kirkham, Jamie and Jüni, Peter and Loke, Yoon K. and Pigott, Therese D. and Ramsay, Craig R. and Regidor, Enrique and Rothstein, Hannah R. and Sandhu, Lakhbir and Santaguida, Patricia L. and Schünemann, Holger J. and Shea, Beverley and Shrier, Ian and Tugwell, Peter and Turner, Lucy and Valentine, Jeffrey C. and Waddington, Hugh and Waters, Elizabeth and Wells, George A. and Whiting, Penny F. and Higgins, Julian P. T.</x:v>
      </x:c>
      <x:c r="D155" s="20" t="str">
        <x:v>2016</x:v>
      </x:c>
      <x:c r="E155" s="20" t="str">
        <x:v>ROBINS-I: A Tool for Assessing Risk of Bias in Non-randomised Studies of Interventions</x:v>
      </x:c>
      <x:c r="F155" s="20" t="str">
        <x:v>BMJ</x:v>
      </x:c>
      <x:c r="G155" s="20" t="str">
        <x:v>10.1136/bmj.i4919</x:v>
      </x:c>
      <x:c r="H155" s="20" t="str">
        <x:v>https://www.bmj.com/content/355/bmj.i4919</x:v>
      </x:c>
      <x:c r="I155" s="20" t="str"/>
      <x:c r="J155" s="20" t="str"/>
      <x:c r="K155" s="20" t="str"/>
      <x:c r="L155" s="20" t="str">
        <x:v>08_Systematic_Review_Methods</x:v>
      </x:c>
      <x:c r="M155" s="20" t="str">
        <x:v>08_Systematic_Review_Methods</x:v>
      </x:c>
      <x:c r="N155" s="20" t="str">
        <x:v>ROBINS-I;risk-of-bias</x:v>
      </x:c>
      <x:c r="O155" s="20" t="str">
        <x:v>methodology</x:v>
      </x:c>
      <x:c r="P155" s="20" t="str">
        <x:v>n/a</x:v>
      </x:c>
      <x:c r="Q155" s="20" t="str">
        <x:v>none</x:v>
      </x:c>
      <x:c r="R155" s="20" t="str">
        <x:v>not_applicable</x:v>
      </x:c>
      <x:c r="S155" s="20" t="str">
        <x:v>method</x:v>
      </x:c>
      <x:c r="T155" s="20" t="str">
        <x:v>doi_structurally_verified_from_source</x:v>
      </x:c>
      <x:c r="U155" s="20" t="str">
        <x:v>manual_seed</x:v>
      </x:c>
      <x:c r="V155" s="20" t="str"/>
    </x:row>
    <x:row r="156">
      <x:c r="A156" s="20" t="str">
        <x:v>shea2017_amstar_2_critical</x:v>
      </x:c>
      <x:c r="B156" s="20" t="str">
        <x:v>article</x:v>
      </x:c>
      <x:c r="C156" s="20" t="str">
        <x:v>Shea, Beverley J. and Reeves, Barnaby C. and Wells, George and Thuku, Micere and Hamel, Candyce and Moran, Julian and Moher, David and Tugwell, Peter and Welch, Vivian and Kristjansson, Elizabeth and Henry, David A.</x:v>
      </x:c>
      <x:c r="D156" s="20" t="str">
        <x:v>2017</x:v>
      </x:c>
      <x:c r="E156" s="20" t="str">
        <x:v>AMSTAR 2: A Critical Appraisal Tool for Systematic Reviews That Include Randomised or Non-randomised Studies of Healthcare Interventions, or Both</x:v>
      </x:c>
      <x:c r="F156" s="20" t="str">
        <x:v>BMJ</x:v>
      </x:c>
      <x:c r="G156" s="20" t="str">
        <x:v>10.1136/bmj.j4008</x:v>
      </x:c>
      <x:c r="H156" s="20" t="str">
        <x:v>https://www.bmj.com/content/358/bmj.j4008</x:v>
      </x:c>
      <x:c r="I156" s="20" t="str"/>
      <x:c r="J156" s="20" t="str"/>
      <x:c r="K156" s="20" t="str"/>
      <x:c r="L156" s="20" t="str">
        <x:v>08_Systematic_Review_Methods</x:v>
      </x:c>
      <x:c r="M156" s="20" t="str">
        <x:v>08_Systematic_Review_Methods</x:v>
      </x:c>
      <x:c r="N156" s="20" t="str">
        <x:v>AMSTAR2;systematic-review</x:v>
      </x:c>
      <x:c r="O156" s="20" t="str">
        <x:v>methodology</x:v>
      </x:c>
      <x:c r="P156" s="20" t="str">
        <x:v>n/a</x:v>
      </x:c>
      <x:c r="Q156" s="20" t="str">
        <x:v>none</x:v>
      </x:c>
      <x:c r="R156" s="20" t="str">
        <x:v>not_applicable</x:v>
      </x:c>
      <x:c r="S156" s="20" t="str">
        <x:v>method</x:v>
      </x:c>
      <x:c r="T156" s="20" t="str">
        <x:v>doi_structurally_verified_from_source</x:v>
      </x:c>
      <x:c r="U156" s="20" t="str">
        <x:v>manual_seed</x:v>
      </x:c>
      <x:c r="V156" s="20" t="str"/>
    </x:row>
    <x:row r="157">
      <x:c r="A157" s="20" t="str">
        <x:v>cooke2012_beyond_pico_spider</x:v>
      </x:c>
      <x:c r="B157" s="20" t="str">
        <x:v>article</x:v>
      </x:c>
      <x:c r="C157" s="20" t="str">
        <x:v>Cooke, Alison and Smith, Debbie and Booth, Andrew</x:v>
      </x:c>
      <x:c r="D157" s="20" t="str">
        <x:v>2012</x:v>
      </x:c>
      <x:c r="E157" s="20" t="str">
        <x:v>Beyond PICO: The SPIDER Tool for Qualitative Evidence Synthesis</x:v>
      </x:c>
      <x:c r="F157" s="20" t="str">
        <x:v>Qualitative Health Research</x:v>
      </x:c>
      <x:c r="G157" s="20" t="str">
        <x:v>10.1177/1049732312452938</x:v>
      </x:c>
      <x:c r="H157" s="20" t="str">
        <x:v>https://doi.org/10.1177/1049732312452938</x:v>
      </x:c>
      <x:c r="I157" s="20" t="str"/>
      <x:c r="J157" s="20" t="str"/>
      <x:c r="K157" s="20" t="str"/>
      <x:c r="L157" s="20" t="str">
        <x:v>08_Systematic_Review_Methods</x:v>
      </x:c>
      <x:c r="M157" s="20" t="str">
        <x:v>08_Systematic_Review_Methods</x:v>
      </x:c>
      <x:c r="N157" s="20" t="str">
        <x:v>SPIDER;systematic-review</x:v>
      </x:c>
      <x:c r="O157" s="20" t="str">
        <x:v>methodology</x:v>
      </x:c>
      <x:c r="P157" s="20" t="str">
        <x:v>n/a</x:v>
      </x:c>
      <x:c r="Q157" s="20" t="str">
        <x:v>none</x:v>
      </x:c>
      <x:c r="R157" s="20" t="str">
        <x:v>not_applicable</x:v>
      </x:c>
      <x:c r="S157" s="20" t="str">
        <x:v>method</x:v>
      </x:c>
      <x:c r="T157" s="20" t="str">
        <x:v>doi_present_needs_crossref_check</x:v>
      </x:c>
      <x:c r="U157" s="20" t="str">
        <x:v>manual_seed</x:v>
      </x:c>
      <x:c r="V157" s="20" t="str"/>
    </x:row>
    <x:row r="158">
      <x:c r="A158" s="20" t="str">
        <x:v>thomas2008_thematic_synthesis_qualitative</x:v>
      </x:c>
      <x:c r="B158" s="20" t="str">
        <x:v>article</x:v>
      </x:c>
      <x:c r="C158" s="20" t="str">
        <x:v>Thomas, James and Harden, Angela</x:v>
      </x:c>
      <x:c r="D158" s="20" t="str">
        <x:v>2008</x:v>
      </x:c>
      <x:c r="E158" s="20" t="str">
        <x:v>Methods for the Thematic Synthesis of Qualitative Research in Systematic Reviews</x:v>
      </x:c>
      <x:c r="F158" s="20" t="str">
        <x:v>BMC Medical Research Methodology</x:v>
      </x:c>
      <x:c r="G158" s="20" t="str">
        <x:v>10.1186/1471-2288-8-45</x:v>
      </x:c>
      <x:c r="H158" s="20" t="str">
        <x:v>https://bmcmedresmethodol.biomedcentral.com/articles/10.1186/1471-2288-8-45</x:v>
      </x:c>
      <x:c r="I158" s="20" t="str"/>
      <x:c r="J158" s="20" t="str"/>
      <x:c r="K158" s="20" t="str"/>
      <x:c r="L158" s="20" t="str">
        <x:v>08_Systematic_Review_Methods</x:v>
      </x:c>
      <x:c r="M158" s="20" t="str">
        <x:v>08_Systematic_Review_Methods</x:v>
      </x:c>
      <x:c r="N158" s="20" t="str">
        <x:v>systematic-review;thematic-synthesis</x:v>
      </x:c>
      <x:c r="O158" s="20" t="str">
        <x:v>methodology</x:v>
      </x:c>
      <x:c r="P158" s="20" t="str">
        <x:v>n/a</x:v>
      </x:c>
      <x:c r="Q158" s="20" t="str">
        <x:v>none</x:v>
      </x:c>
      <x:c r="R158" s="20" t="str">
        <x:v>not_applicable</x:v>
      </x:c>
      <x:c r="S158" s="20" t="str">
        <x:v>method</x:v>
      </x:c>
      <x:c r="T158" s="20" t="str">
        <x:v>doi_structurally_verified_from_source</x:v>
      </x:c>
      <x:c r="U158" s="20" t="str">
        <x:v>manual_seed</x:v>
      </x:c>
      <x:c r="V158" s="20" t="str"/>
    </x:row>
    <x:row r="159">
      <x:c r="A159" s="20" t="str">
        <x:v>haddaway2022_prisma2020_r_package</x:v>
      </x:c>
      <x:c r="B159" s="20" t="str">
        <x:v>article</x:v>
      </x:c>
      <x:c r="C159" s="20" t="str">
        <x:v>Haddaway, Neal R. and Page, Matthew J. and Pritchard, Chris C. and McGuinness, Luke A.</x:v>
      </x:c>
      <x:c r="D159" s="20" t="str">
        <x:v>2022</x:v>
      </x:c>
      <x:c r="E159" s="20" t="str">
        <x:v>PRISMA2020: An R Package and Shiny App for Producing PRISMA 2020-compliant Flow Diagrams</x:v>
      </x:c>
      <x:c r="F159" s="20" t="str">
        <x:v>Campbell Systematic Reviews</x:v>
      </x:c>
      <x:c r="G159" s="20" t="str">
        <x:v>10.1002/cl2.1230</x:v>
      </x:c>
      <x:c r="H159" s="20" t="str">
        <x:v>https://onlinelibrary.wiley.com/doi/10.1002/cl2.1230</x:v>
      </x:c>
      <x:c r="I159" s="20" t="str"/>
      <x:c r="J159" s="20" t="str"/>
      <x:c r="K159" s="20" t="str"/>
      <x:c r="L159" s="20" t="str">
        <x:v>08_Systematic_Review_Methods</x:v>
      </x:c>
      <x:c r="M159" s="20" t="str">
        <x:v>08_Systematic_Review_Methods</x:v>
      </x:c>
      <x:c r="N159" s="20" t="str">
        <x:v>PRISMA;R;systematic-review</x:v>
      </x:c>
      <x:c r="O159" s="20" t="str">
        <x:v>methodology</x:v>
      </x:c>
      <x:c r="P159" s="20" t="str">
        <x:v>n/a</x:v>
      </x:c>
      <x:c r="Q159" s="20" t="str">
        <x:v>none</x:v>
      </x:c>
      <x:c r="R159" s="20" t="str">
        <x:v>not_applicable</x:v>
      </x:c>
      <x:c r="S159" s="20" t="str">
        <x:v>method</x:v>
      </x:c>
      <x:c r="T159" s="20" t="str">
        <x:v>doi_present_needs_crossref_check</x:v>
      </x:c>
      <x:c r="U159" s="20" t="str">
        <x:v>manual_seed</x:v>
      </x:c>
      <x:c r="V159" s="20" t="str"/>
    </x:row>
    <x:row r="160">
      <x:c r="A160" s="20" t="str">
        <x:v>ouzzani2016_rayyan_web_mobile</x:v>
      </x:c>
      <x:c r="B160" s="20" t="str">
        <x:v>article</x:v>
      </x:c>
      <x:c r="C160" s="20" t="str">
        <x:v>Ouzzani, Mourad and Hammady, Hossam and Fedorowicz, Zbys and Elmagarmid, Ahmed</x:v>
      </x:c>
      <x:c r="D160" s="20" t="str">
        <x:v>2016</x:v>
      </x:c>
      <x:c r="E160" s="20" t="str">
        <x:v>Rayyan: A Web and Mobile App for Systematic Reviews</x:v>
      </x:c>
      <x:c r="F160" s="20" t="str">
        <x:v>Systematic Reviews</x:v>
      </x:c>
      <x:c r="G160" s="20" t="str">
        <x:v>10.1186/s13643-016-0384-4</x:v>
      </x:c>
      <x:c r="H160" s="20" t="str">
        <x:v>https://systematicreviewsjournal.biomedcentral.com/articles/10.1186/s13643-016-0384-4</x:v>
      </x:c>
      <x:c r="I160" s="20" t="str"/>
      <x:c r="J160" s="20" t="str"/>
      <x:c r="K160" s="20" t="str"/>
      <x:c r="L160" s="20" t="str">
        <x:v>08_Systematic_Review_Methods</x:v>
      </x:c>
      <x:c r="M160" s="20" t="str">
        <x:v>08_Systematic_Review_Methods</x:v>
      </x:c>
      <x:c r="N160" s="20" t="str">
        <x:v>Rayyan;screening;systematic-review</x:v>
      </x:c>
      <x:c r="O160" s="20" t="str">
        <x:v>methodology</x:v>
      </x:c>
      <x:c r="P160" s="20" t="str">
        <x:v>n/a</x:v>
      </x:c>
      <x:c r="Q160" s="20" t="str">
        <x:v>none</x:v>
      </x:c>
      <x:c r="R160" s="20" t="str">
        <x:v>not_applicable</x:v>
      </x:c>
      <x:c r="S160" s="20" t="str">
        <x:v>method</x:v>
      </x:c>
      <x:c r="T160" s="20" t="str">
        <x:v>doi_structurally_verified_from_source</x:v>
      </x:c>
      <x:c r="U160" s="20" t="str">
        <x:v>manual_seed</x:v>
      </x:c>
      <x:c r="V160" s="20" t="str"/>
    </x:row>
    <x:row r="161">
      <x:c r="A161" s="20" t="str">
        <x:v>aria2017_bibliometrix_r_tool</x:v>
      </x:c>
      <x:c r="B161" s="20" t="str">
        <x:v>article</x:v>
      </x:c>
      <x:c r="C161" s="20" t="str">
        <x:v>Aria, Massimo and Cuccurullo, Corrado</x:v>
      </x:c>
      <x:c r="D161" s="20" t="str">
        <x:v>2017</x:v>
      </x:c>
      <x:c r="E161" s="20" t="str">
        <x:v>Bibliometrix: An R-tool for Comprehensive Science Mapping Analysis</x:v>
      </x:c>
      <x:c r="F161" s="20" t="str">
        <x:v>Journal of Informetrics</x:v>
      </x:c>
      <x:c r="G161" s="20" t="str">
        <x:v>10.1016/j.joi.2017.08.007</x:v>
      </x:c>
      <x:c r="H161" s="20" t="str">
        <x:v>https://www.sciencedirect.com/science/article/pii/S1751157717300500</x:v>
      </x:c>
      <x:c r="I161" s="20" t="str"/>
      <x:c r="J161" s="20" t="str"/>
      <x:c r="K161" s="20" t="str"/>
      <x:c r="L161" s="20" t="str">
        <x:v>08_Systematic_Review_Methods</x:v>
      </x:c>
      <x:c r="M161" s="20" t="str">
        <x:v>08_Systematic_Review_Methods</x:v>
      </x:c>
      <x:c r="N161" s="20" t="str">
        <x:v>bibliometrics;bibliometrix</x:v>
      </x:c>
      <x:c r="O161" s="20" t="str">
        <x:v>bibliometrics</x:v>
      </x:c>
      <x:c r="P161" s="20" t="str">
        <x:v>n/a</x:v>
      </x:c>
      <x:c r="Q161" s="20" t="str">
        <x:v>none</x:v>
      </x:c>
      <x:c r="R161" s="20" t="str">
        <x:v>not_applicable</x:v>
      </x:c>
      <x:c r="S161" s="20" t="str">
        <x:v>method</x:v>
      </x:c>
      <x:c r="T161" s="20" t="str">
        <x:v>doi_structurally_verified_from_source</x:v>
      </x:c>
      <x:c r="U161" s="20" t="str">
        <x:v>manual_seed</x:v>
      </x:c>
      <x:c r="V161" s="20" t="str"/>
    </x:row>
    <x:row r="162">
      <x:c r="A162" s="20" t="str">
        <x:v>vaneck2010_software_vosviewer_computer</x:v>
      </x:c>
      <x:c r="B162" s="20" t="str">
        <x:v>article</x:v>
      </x:c>
      <x:c r="C162" s="20" t="str">
        <x:v>van Eck, Nees Jan and Waltman, Ludo</x:v>
      </x:c>
      <x:c r="D162" s="20" t="str">
        <x:v>2010</x:v>
      </x:c>
      <x:c r="E162" s="20" t="str">
        <x:v>Software Survey: VOSviewer, a Computer Program for Bibliometric Mapping</x:v>
      </x:c>
      <x:c r="F162" s="20" t="str">
        <x:v>Scientometrics</x:v>
      </x:c>
      <x:c r="G162" s="20" t="str">
        <x:v>10.1007/s11192-009-0146-3</x:v>
      </x:c>
      <x:c r="H162" s="20" t="str">
        <x:v>https://link.springer.com/article/10.1007/s11192-009-0146-3</x:v>
      </x:c>
      <x:c r="I162" s="20" t="str"/>
      <x:c r="J162" s="20" t="str"/>
      <x:c r="K162" s="20" t="str"/>
      <x:c r="L162" s="20" t="str">
        <x:v>08_Systematic_Review_Methods</x:v>
      </x:c>
      <x:c r="M162" s="20" t="str">
        <x:v>08_Systematic_Review_Methods</x:v>
      </x:c>
      <x:c r="N162" s="20" t="str">
        <x:v>VOSviewer;bibliometrics</x:v>
      </x:c>
      <x:c r="O162" s="20" t="str">
        <x:v>bibliometrics</x:v>
      </x:c>
      <x:c r="P162" s="20" t="str">
        <x:v>n/a</x:v>
      </x:c>
      <x:c r="Q162" s="20" t="str">
        <x:v>none</x:v>
      </x:c>
      <x:c r="R162" s="20" t="str">
        <x:v>not_applicable</x:v>
      </x:c>
      <x:c r="S162" s="20" t="str">
        <x:v>method</x:v>
      </x:c>
      <x:c r="T162" s="20" t="str">
        <x:v>doi_present_needs_crossref_check</x:v>
      </x:c>
      <x:c r="U162" s="20" t="str">
        <x:v>manual_seed</x:v>
      </x:c>
      <x:c r="V162" s="20" t="str"/>
    </x:row>
    <x:row r="163">
      <x:c r="A163" s="20" t="str">
        <x:v>moher2009_preferred_reporting_items</x:v>
      </x:c>
      <x:c r="B163" s="20" t="str">
        <x:v>article</x:v>
      </x:c>
      <x:c r="C163" s="20" t="str">
        <x:v>Moher, David and Liberati, Alessandro and Tetzlaff, Jennifer and Altman, Douglas G.</x:v>
      </x:c>
      <x:c r="D163" s="20" t="str">
        <x:v>2009</x:v>
      </x:c>
      <x:c r="E163" s="20" t="str">
        <x:v>Preferred Reporting Items for Systematic Reviews and Meta-Analyses: The PRISMA Statement</x:v>
      </x:c>
      <x:c r="F163" s="20" t="str">
        <x:v>PLoS Medicine</x:v>
      </x:c>
      <x:c r="G163" s="20" t="str">
        <x:v>10.1371/journal.pmed.1000097</x:v>
      </x:c>
      <x:c r="H163" s="20" t="str">
        <x:v>https://journals.plos.org/plosmedicine/article?id=10.1371/journal.pmed.1000097</x:v>
      </x:c>
      <x:c r="I163" s="20" t="str"/>
      <x:c r="J163" s="20" t="str"/>
      <x:c r="K163" s="20" t="str"/>
      <x:c r="L163" s="20" t="str">
        <x:v>08_Systematic_Review_Methods</x:v>
      </x:c>
      <x:c r="M163" s="20" t="str">
        <x:v>08_Systematic_Review_Methods</x:v>
      </x:c>
      <x:c r="N163" s="20" t="str">
        <x:v>PRISMA;systematic-review</x:v>
      </x:c>
      <x:c r="O163" s="20" t="str">
        <x:v>methodology</x:v>
      </x:c>
      <x:c r="P163" s="20" t="str">
        <x:v>n/a</x:v>
      </x:c>
      <x:c r="Q163" s="20" t="str">
        <x:v>none</x:v>
      </x:c>
      <x:c r="R163" s="20" t="str">
        <x:v>not_applicable</x:v>
      </x:c>
      <x:c r="S163" s="20" t="str">
        <x:v>method</x:v>
      </x:c>
      <x:c r="T163" s="20" t="str">
        <x:v>doi_present_needs_crossref_check</x:v>
      </x:c>
      <x:c r="U163" s="20" t="str">
        <x:v>manual_seed</x:v>
      </x:c>
      <x:c r="V163" s="20" t="str"/>
    </x:row>
    <x:row r="164">
      <x:c r="A164" s="20" t="str">
        <x:v>higgins2023_cochrane_handbook_systematic</x:v>
      </x:c>
      <x:c r="B164" s="20" t="str">
        <x:v>book</x:v>
      </x:c>
      <x:c r="C164" s="20" t="str">
        <x:v>Higgins, Julian P. T. and Thomas, James and Chandler, Jacqueline and Cumpston, Miranda and Li, Tianjing and Page, Matthew J. and Welch, Vivian A.</x:v>
      </x:c>
      <x:c r="D164" s="20" t="str">
        <x:v>2023</x:v>
      </x:c>
      <x:c r="E164" s="20" t="str">
        <x:v>Cochrane Handbook for Systematic Reviews of Interventions</x:v>
      </x:c>
      <x:c r="F164" s="20" t="str">
        <x:v>Cochrane Handbook for Systematic Reviews of Interventions</x:v>
      </x:c>
      <x:c r="G164" s="20" t="str"/>
      <x:c r="H164" s="20" t="str">
        <x:v>https://training.cochrane.org/handbook/current</x:v>
      </x:c>
      <x:c r="I164" s="20" t="str"/>
      <x:c r="J164" s="20" t="str"/>
      <x:c r="K164" s="20" t="str"/>
      <x:c r="L164" s="20" t="str">
        <x:v>08_Systematic_Review_Methods</x:v>
      </x:c>
      <x:c r="M164" s="20" t="str">
        <x:v>08_Systematic_Review_Methods</x:v>
      </x:c>
      <x:c r="N164" s="20" t="str">
        <x:v>Cochrane;systematic-review</x:v>
      </x:c>
      <x:c r="O164" s="20" t="str">
        <x:v>methodology</x:v>
      </x:c>
      <x:c r="P164" s="20" t="str">
        <x:v>n/a</x:v>
      </x:c>
      <x:c r="Q164" s="20" t="str">
        <x:v>none</x:v>
      </x:c>
      <x:c r="R164" s="20" t="str">
        <x:v>not_applicable</x:v>
      </x:c>
      <x:c r="S164" s="20" t="str">
        <x:v>method</x:v>
      </x:c>
      <x:c r="T164" s="20" t="str">
        <x:v>url_stable_no_doi</x:v>
      </x:c>
      <x:c r="U164" s="20" t="str">
        <x:v>manual_seed</x:v>
      </x:c>
      <x:c r="V164" s="20" t="str"/>
    </x:row>
    <x:row r="165">
      <x:c r="A165" s="20" t="str">
        <x:v>aromataris2020_jbi_manual_evidence</x:v>
      </x:c>
      <x:c r="B165" s="20" t="str">
        <x:v>book</x:v>
      </x:c>
      <x:c r="C165" s="20" t="str">
        <x:v>Aromataris, Edoardo and Munn, Zachary</x:v>
      </x:c>
      <x:c r="D165" s="20" t="str">
        <x:v>2020</x:v>
      </x:c>
      <x:c r="E165" s="20" t="str">
        <x:v>JBI Manual for Evidence Synthesis</x:v>
      </x:c>
      <x:c r="F165" s="20" t="str">
        <x:v>JBI Manual for Evidence Synthesis</x:v>
      </x:c>
      <x:c r="G165" s="20" t="str">
        <x:v>10.46658/JBIMES-20-01</x:v>
      </x:c>
      <x:c r="H165" s="20" t="str">
        <x:v>https://synthesismanual.jbi.global</x:v>
      </x:c>
      <x:c r="I165" s="20" t="str"/>
      <x:c r="J165" s="20" t="str"/>
      <x:c r="K165" s="20" t="str"/>
      <x:c r="L165" s="20" t="str">
        <x:v>08_Systematic_Review_Methods</x:v>
      </x:c>
      <x:c r="M165" s="20" t="str">
        <x:v>08_Systematic_Review_Methods</x:v>
      </x:c>
      <x:c r="N165" s="20" t="str">
        <x:v>JBI;systematic-review</x:v>
      </x:c>
      <x:c r="O165" s="20" t="str">
        <x:v>methodology</x:v>
      </x:c>
      <x:c r="P165" s="20" t="str">
        <x:v>n/a</x:v>
      </x:c>
      <x:c r="Q165" s="20" t="str">
        <x:v>none</x:v>
      </x:c>
      <x:c r="R165" s="20" t="str">
        <x:v>not_applicable</x:v>
      </x:c>
      <x:c r="S165" s="20" t="str">
        <x:v>method</x:v>
      </x:c>
      <x:c r="T165" s="20" t="str">
        <x:v>doi_present_needs_crossref_check</x:v>
      </x:c>
      <x:c r="U165" s="20" t="str">
        <x:v>manual_seed</x:v>
      </x:c>
      <x:c r="V165" s="20" t="str"/>
    </x:row>
    <x:row r="166">
      <x:c r="A166" s="20" t="str">
        <x:v>hong2018_mixed_appraisal_tool</x:v>
      </x:c>
      <x:c r="B166" s="20" t="str">
        <x:v>misc</x:v>
      </x:c>
      <x:c r="C166" s="20" t="str">
        <x:v>Hong, Quan Nha and Pluye, Pierre and Fàbregues, Sergi and Bartlett, Gillian and Boardman, Felicity and Cargo, Margaret and Dagenais, Pierre and Gagnon, Marie-Pierre and Griffiths, Frances and Nicolau, Belinda and O'Cathain, Alicia and Rousseau, Marie-Claude and Vedel, Isabelle</x:v>
      </x:c>
      <x:c r="D166" s="20" t="str">
        <x:v>2018</x:v>
      </x:c>
      <x:c r="E166" s="20" t="str">
        <x:v>Mixed Methods Appraisal Tool (MMAT), Version 2018</x:v>
      </x:c>
      <x:c r="F166" s="20" t="str">
        <x:v>User guide</x:v>
      </x:c>
      <x:c r="G166" s="20" t="str"/>
      <x:c r="H166" s="20" t="str">
        <x:v>http://mixedmethodsappraisaltoolpublic.pbworks.com/</x:v>
      </x:c>
      <x:c r="I166" s="20" t="str"/>
      <x:c r="J166" s="20" t="str"/>
      <x:c r="K166" s="20" t="str"/>
      <x:c r="L166" s="20" t="str">
        <x:v>08_Systematic_Review_Methods</x:v>
      </x:c>
      <x:c r="M166" s="20" t="str">
        <x:v>08_Systematic_Review_Methods</x:v>
      </x:c>
      <x:c r="N166" s="20" t="str">
        <x:v>mixed-methods;risk-of-bias</x:v>
      </x:c>
      <x:c r="O166" s="20" t="str">
        <x:v>methodology</x:v>
      </x:c>
      <x:c r="P166" s="20" t="str">
        <x:v>n/a</x:v>
      </x:c>
      <x:c r="Q166" s="20" t="str">
        <x:v>none</x:v>
      </x:c>
      <x:c r="R166" s="20" t="str">
        <x:v>not_applicable</x:v>
      </x:c>
      <x:c r="S166" s="20" t="str">
        <x:v>method</x:v>
      </x:c>
      <x:c r="T166" s="20" t="str">
        <x:v>url_stable_no_doi</x:v>
      </x:c>
      <x:c r="U166" s="20" t="str">
        <x:v>manual_seed</x:v>
      </x:c>
      <x:c r="V166" s="20" t="str"/>
    </x:row>
    <x:row r="167">
      <x:c r="A167" s="20" t="str">
        <x:v>devlin2019_bert_pre_training</x:v>
      </x:c>
      <x:c r="B167" s="20" t="str">
        <x:v>inproceedings</x:v>
      </x:c>
      <x:c r="C167" s="20" t="str">
        <x:v>Devlin, Jacob and Chang, Ming-Wei and Lee, Kenton and Toutanova, Kristina</x:v>
      </x:c>
      <x:c r="D167" s="20" t="str">
        <x:v>2019</x:v>
      </x:c>
      <x:c r="E167" s="20" t="str">
        <x:v>BERT: Pre-training of Deep Bidirectional Transformers for Language Understanding</x:v>
      </x:c>
      <x:c r="F167" s="20" t="str">
        <x:v>Proceedings of NAACL-HLT 2019</x:v>
      </x:c>
      <x:c r="G167" s="20" t="str">
        <x:v>10.18653/v1/N19-1423</x:v>
      </x:c>
      <x:c r="H167" s="20" t="str">
        <x:v>https://aclanthology.org/N19-1423/</x:v>
      </x:c>
      <x:c r="I167" s="20" t="str">
        <x:v>1810.04805</x:v>
      </x:c>
      <x:c r="J167" s="20" t="str"/>
      <x:c r="K167" s="20" t="str">
        <x:v>N19-1423</x:v>
      </x:c>
      <x:c r="L167" s="20" t="str">
        <x:v>10_LLM_Backbones_LowResource</x:v>
      </x:c>
      <x:c r="M167" s="20" t="str">
        <x:v>10_LLM_Backbones_LowResource</x:v>
      </x:c>
      <x:c r="N167" s="20" t="str">
        <x:v>BERT;language-model</x:v>
      </x:c>
      <x:c r="O167" s="20" t="str">
        <x:v>pretraining</x:v>
      </x:c>
      <x:c r="P167" s="20" t="str">
        <x:v>en</x:v>
      </x:c>
      <x:c r="Q167" s="20" t="str">
        <x:v>none</x:v>
      </x:c>
      <x:c r="R167" s="20" t="str">
        <x:v>not_applicable</x:v>
      </x:c>
      <x:c r="S167" s="20" t="str">
        <x:v>background</x:v>
      </x:c>
      <x:c r="T167" s="20" t="str">
        <x:v>doi_structurally_verified_from_source</x:v>
      </x:c>
      <x:c r="U167" s="20" t="str">
        <x:v>manual_seed</x:v>
      </x:c>
      <x:c r="V167" s="20" t="str"/>
    </x:row>
    <x:row r="168">
      <x:c r="A168" s="20" t="str">
        <x:v>raffel2020_exploring_limits_transfer</x:v>
      </x:c>
      <x:c r="B168" s="20" t="str">
        <x:v>article</x:v>
      </x:c>
      <x:c r="C168" s="20" t="str">
        <x:v>Raffel, Colin and Shazeer, Noam and Roberts, Adam and Lee, Katherine and Narang, Sharan and Matena, Michael and Zhou, Yanqi and Li, Wei and Liu, Peter J.</x:v>
      </x:c>
      <x:c r="D168" s="20" t="str">
        <x:v>2020</x:v>
      </x:c>
      <x:c r="E168" s="20" t="str">
        <x:v>Exploring the Limits of Transfer Learning with a Unified Text-to-Text Transformer</x:v>
      </x:c>
      <x:c r="F168" s="20" t="str">
        <x:v>Journal of Machine Learning Research</x:v>
      </x:c>
      <x:c r="G168" s="20" t="str"/>
      <x:c r="H168" s="20" t="str">
        <x:v>https://jmlr.org/papers/v21/20-074.html</x:v>
      </x:c>
      <x:c r="I168" s="20" t="str"/>
      <x:c r="J168" s="20" t="str"/>
      <x:c r="K168" s="20" t="str"/>
      <x:c r="L168" s="20" t="str">
        <x:v>10_LLM_Backbones_LowResource</x:v>
      </x:c>
      <x:c r="M168" s="20" t="str">
        <x:v>10_LLM_Backbones_LowResource</x:v>
      </x:c>
      <x:c r="N168" s="20" t="str">
        <x:v>T5;language-model;seq2seq</x:v>
      </x:c>
      <x:c r="O168" s="20" t="str">
        <x:v>pretraining</x:v>
      </x:c>
      <x:c r="P168" s="20" t="str">
        <x:v>en</x:v>
      </x:c>
      <x:c r="Q168" s="20" t="str">
        <x:v>none</x:v>
      </x:c>
      <x:c r="R168" s="20" t="str">
        <x:v>not_applicable</x:v>
      </x:c>
      <x:c r="S168" s="20" t="str">
        <x:v>background</x:v>
      </x:c>
      <x:c r="T168" s="20" t="str">
        <x:v>url_stable_no_doi</x:v>
      </x:c>
      <x:c r="U168" s="20" t="str">
        <x:v>manual_seed</x:v>
      </x:c>
      <x:c r="V168" s="20" t="str"/>
    </x:row>
    <x:row r="169">
      <x:c r="A169" s="20" t="str">
        <x:v>lewis2020_bart_denoising_sequence</x:v>
      </x:c>
      <x:c r="B169" s="20" t="str">
        <x:v>inproceedings</x:v>
      </x:c>
      <x:c r="C169" s="20" t="str">
        <x:v>Lewis, Mike and Liu, Yinhan and Goyal, Naman and Ghazvininejad, Marjan and Mohamed, Abdelrahman and Levy, Omer and Stoyanov, Veselin and Zettlemoyer, Luke</x:v>
      </x:c>
      <x:c r="D169" s="20" t="str">
        <x:v>2020</x:v>
      </x:c>
      <x:c r="E169" s="20" t="str">
        <x:v>BART: Denoising Sequence-to-Sequence Pre-training for Natural Language Generation, Translation, and Comprehension</x:v>
      </x:c>
      <x:c r="F169" s="20" t="str">
        <x:v>Proceedings of ACL 2020</x:v>
      </x:c>
      <x:c r="G169" s="20" t="str">
        <x:v>10.18653/v1/2020.acl-main.703</x:v>
      </x:c>
      <x:c r="H169" s="20" t="str">
        <x:v>https://aclanthology.org/2020.acl-main.703/</x:v>
      </x:c>
      <x:c r="I169" s="20" t="str"/>
      <x:c r="J169" s="20" t="str"/>
      <x:c r="K169" s="20" t="str">
        <x:v>2020.acl-main.703</x:v>
      </x:c>
      <x:c r="L169" s="20" t="str">
        <x:v>10_LLM_Backbones_LowResource</x:v>
      </x:c>
      <x:c r="M169" s="20" t="str">
        <x:v>10_LLM_Backbones_LowResource</x:v>
      </x:c>
      <x:c r="N169" s="20" t="str">
        <x:v>BART;language-model;seq2seq</x:v>
      </x:c>
      <x:c r="O169" s="20" t="str">
        <x:v>pretraining</x:v>
      </x:c>
      <x:c r="P169" s="20" t="str">
        <x:v>en</x:v>
      </x:c>
      <x:c r="Q169" s="20" t="str">
        <x:v>none</x:v>
      </x:c>
      <x:c r="R169" s="20" t="str">
        <x:v>not_applicable</x:v>
      </x:c>
      <x:c r="S169" s="20" t="str">
        <x:v>background</x:v>
      </x:c>
      <x:c r="T169" s="20" t="str">
        <x:v>doi_structurally_verified_from_source</x:v>
      </x:c>
      <x:c r="U169" s="20" t="str">
        <x:v>manual_seed</x:v>
      </x:c>
      <x:c r="V169" s="20" t="str"/>
    </x:row>
    <x:row r="170">
      <x:c r="A170" s="20" t="str">
        <x:v>xue2021_mt5_massively_multilingual</x:v>
      </x:c>
      <x:c r="B170" s="20" t="str">
        <x:v>inproceedings</x:v>
      </x:c>
      <x:c r="C170" s="20" t="str">
        <x:v>Xue, Linting and Constant, Noah and Roberts, Adam and Kale, Mihir and Al-Rfou, Rami and Siddhant, Aditya and Barua, Aditya and Raffel, Colin</x:v>
      </x:c>
      <x:c r="D170" s="20" t="str">
        <x:v>2021</x:v>
      </x:c>
      <x:c r="E170" s="20" t="str">
        <x:v>mT5: A Massively Multilingual Pre-trained Text-to-Text Transformer</x:v>
      </x:c>
      <x:c r="F170" s="20" t="str">
        <x:v>Proceedings of NAACL-HLT 2021</x:v>
      </x:c>
      <x:c r="G170" s="20" t="str">
        <x:v>10.18653/v1/2021.naacl-main.41</x:v>
      </x:c>
      <x:c r="H170" s="20" t="str">
        <x:v>https://aclanthology.org/2021.naacl-main.41/</x:v>
      </x:c>
      <x:c r="I170" s="20" t="str"/>
      <x:c r="J170" s="20" t="str"/>
      <x:c r="K170" s="20" t="str">
        <x:v>2021.naacl-main.41</x:v>
      </x:c>
      <x:c r="L170" s="20" t="str">
        <x:v>10_LLM_Backbones_LowResource</x:v>
      </x:c>
      <x:c r="M170" s="20" t="str">
        <x:v>10_LLM_Backbones_LowResource</x:v>
      </x:c>
      <x:c r="N170" s="20" t="str">
        <x:v>language-model;mT5;multilingual</x:v>
      </x:c>
      <x:c r="O170" s="20" t="str">
        <x:v>pretraining</x:v>
      </x:c>
      <x:c r="P170" s="20" t="str">
        <x:v>101</x:v>
      </x:c>
      <x:c r="Q170" s="20" t="str">
        <x:v>none</x:v>
      </x:c>
      <x:c r="R170" s="20" t="str">
        <x:v>transferable</x:v>
      </x:c>
      <x:c r="S170" s="20" t="str">
        <x:v>background</x:v>
      </x:c>
      <x:c r="T170" s="20" t="str">
        <x:v>doi_structurally_verified_from_source</x:v>
      </x:c>
      <x:c r="U170" s="20" t="str">
        <x:v>manual_seed</x:v>
      </x:c>
      <x:c r="V170" s="20" t="str"/>
    </x:row>
    <x:row r="171">
      <x:c r="A171" s="20" t="str">
        <x:v>liu2020_multilingual_denoising_pre</x:v>
      </x:c>
      <x:c r="B171" s="20" t="str">
        <x:v>article</x:v>
      </x:c>
      <x:c r="C171" s="20" t="str">
        <x:v>Liu, Yinhan and Gu, Jiatao and Goyal, Naman and Li, Xian and Edunov, Sergey and Ghazvininejad, Marjan and Lewis, Mike and Zettlemoyer, Luke</x:v>
      </x:c>
      <x:c r="D171" s="20" t="str">
        <x:v>2020</x:v>
      </x:c>
      <x:c r="E171" s="20" t="str">
        <x:v>Multilingual Denoising Pre-training for Neural Machine Translation</x:v>
      </x:c>
      <x:c r="F171" s="20" t="str">
        <x:v>Transactions of the Association for Computational Linguistics</x:v>
      </x:c>
      <x:c r="G171" s="20" t="str">
        <x:v>10.1162/tacl_a_00343</x:v>
      </x:c>
      <x:c r="H171" s="20" t="str">
        <x:v>https://aclanthology.org/2020.tacl-1.47/</x:v>
      </x:c>
      <x:c r="I171" s="20" t="str"/>
      <x:c r="J171" s="20" t="str"/>
      <x:c r="K171" s="20" t="str"/>
      <x:c r="L171" s="20" t="str">
        <x:v>10_LLM_Backbones_LowResource</x:v>
      </x:c>
      <x:c r="M171" s="20" t="str">
        <x:v>10_LLM_Backbones_LowResource</x:v>
      </x:c>
      <x:c r="N171" s="20" t="str">
        <x:v>language-model;mBART;multilingual</x:v>
      </x:c>
      <x:c r="O171" s="20" t="str">
        <x:v>pretraining;MT</x:v>
      </x:c>
      <x:c r="P171" s="20" t="str">
        <x:v>multilingual</x:v>
      </x:c>
      <x:c r="Q171" s="20" t="str">
        <x:v>none</x:v>
      </x:c>
      <x:c r="R171" s="20" t="str">
        <x:v>transferable</x:v>
      </x:c>
      <x:c r="S171" s="20" t="str">
        <x:v>background</x:v>
      </x:c>
      <x:c r="T171" s="20" t="str">
        <x:v>doi_structurally_verified_from_source</x:v>
      </x:c>
      <x:c r="U171" s="20" t="str">
        <x:v>manual_seed</x:v>
      </x:c>
      <x:c r="V171" s="20" t="str"/>
    </x:row>
    <x:row r="172">
      <x:c r="A172" s="20" t="str">
        <x:v>conneau2020_unsupervised_cross_lingual</x:v>
      </x:c>
      <x:c r="B172" s="20" t="str">
        <x:v>inproceedings</x:v>
      </x:c>
      <x:c r="C172" s="20" t="str">
        <x:v>Conneau, Alexis and Khandelwal, Kartikay and Goyal, Naman and Chaudhary, Vishrav and Wenzek, Guillaume and Guzmán, Francisco and Grave, Edouard and Ott, Myle and Zettlemoyer, Luke and Stoyanov, Veselin</x:v>
      </x:c>
      <x:c r="D172" s="20" t="str">
        <x:v>2020</x:v>
      </x:c>
      <x:c r="E172" s="20" t="str">
        <x:v>Unsupervised Cross-lingual Representation Learning at Scale</x:v>
      </x:c>
      <x:c r="F172" s="20" t="str">
        <x:v>Proceedings of ACL 2020</x:v>
      </x:c>
      <x:c r="G172" s="20" t="str">
        <x:v>10.18653/v1/2020.acl-main.747</x:v>
      </x:c>
      <x:c r="H172" s="20" t="str">
        <x:v>https://aclanthology.org/2020.acl-main.747/</x:v>
      </x:c>
      <x:c r="I172" s="20" t="str"/>
      <x:c r="J172" s="20" t="str"/>
      <x:c r="K172" s="20" t="str">
        <x:v>2020.acl-main.747</x:v>
      </x:c>
      <x:c r="L172" s="20" t="str">
        <x:v>10_LLM_Backbones_LowResource</x:v>
      </x:c>
      <x:c r="M172" s="20" t="str">
        <x:v>10_LLM_Backbones_LowResource</x:v>
      </x:c>
      <x:c r="N172" s="20" t="str">
        <x:v>XLM-R;language-model;multilingual</x:v>
      </x:c>
      <x:c r="O172" s="20" t="str">
        <x:v>pretraining</x:v>
      </x:c>
      <x:c r="P172" s="20" t="str">
        <x:v>100</x:v>
      </x:c>
      <x:c r="Q172" s="20" t="str">
        <x:v>none</x:v>
      </x:c>
      <x:c r="R172" s="20" t="str">
        <x:v>transferable</x:v>
      </x:c>
      <x:c r="S172" s="20" t="str">
        <x:v>background</x:v>
      </x:c>
      <x:c r="T172" s="20" t="str">
        <x:v>doi_structurally_verified_from_source</x:v>
      </x:c>
      <x:c r="U172" s="20" t="str">
        <x:v>manual_seed</x:v>
      </x:c>
      <x:c r="V172" s="20" t="str"/>
    </x:row>
    <x:row r="173">
      <x:c r="A173" s="20" t="str">
        <x:v>pfeiffer2020_mad_x_adapter</x:v>
      </x:c>
      <x:c r="B173" s="20" t="str">
        <x:v>inproceedings</x:v>
      </x:c>
      <x:c r="C173" s="20" t="str">
        <x:v>Pfeiffer, Jonas and Vulić, Ivan and Gurevych, Iryna and Ruder, Sebastian</x:v>
      </x:c>
      <x:c r="D173" s="20" t="str">
        <x:v>2020</x:v>
      </x:c>
      <x:c r="E173" s="20" t="str">
        <x:v>MAD-X: An Adapter-Based Framework for Multi-Task Cross-Lingual Transfer</x:v>
      </x:c>
      <x:c r="F173" s="20" t="str">
        <x:v>Proceedings of EMNLP 2020</x:v>
      </x:c>
      <x:c r="G173" s="20" t="str">
        <x:v>10.18653/v1/2020.emnlp-main.617</x:v>
      </x:c>
      <x:c r="H173" s="20" t="str">
        <x:v>https://aclanthology.org/2020.emnlp-main.617/</x:v>
      </x:c>
      <x:c r="I173" s="20" t="str"/>
      <x:c r="J173" s="20" t="str"/>
      <x:c r="K173" s="20" t="str">
        <x:v>2020.emnlp-main.617</x:v>
      </x:c>
      <x:c r="L173" s="20" t="str">
        <x:v>10_LLM_Backbones_LowResource</x:v>
      </x:c>
      <x:c r="M173" s="20" t="str">
        <x:v>10_LLM_Backbones_LowResource</x:v>
      </x:c>
      <x:c r="N173" s="20" t="str">
        <x:v>adapters;cross-lingual;low-resource</x:v>
      </x:c>
      <x:c r="O173" s="20" t="str">
        <x:v>transfer-learning</x:v>
      </x:c>
      <x:c r="P173" s="20" t="str">
        <x:v>multilingual</x:v>
      </x:c>
      <x:c r="Q173" s="20" t="str">
        <x:v>none</x:v>
      </x:c>
      <x:c r="R173" s="20" t="str">
        <x:v>transferable</x:v>
      </x:c>
      <x:c r="S173" s="20" t="str">
        <x:v>supporting</x:v>
      </x:c>
      <x:c r="T173" s="20" t="str">
        <x:v>doi_structurally_verified_from_source</x:v>
      </x:c>
      <x:c r="U173" s="20" t="str">
        <x:v>manual_seed</x:v>
      </x:c>
      <x:c r="V173" s="20" t="str"/>
    </x:row>
    <x:row r="174">
      <x:c r="A174" s="20" t="str">
        <x:v>houlsby2019_parameter_efficient_transfer</x:v>
      </x:c>
      <x:c r="B174" s="20" t="str">
        <x:v>inproceedings</x:v>
      </x:c>
      <x:c r="C174" s="20" t="str">
        <x:v>Houlsby, Neil and Giurgiu, Andrei and Jastrzębski, Stanisław and Morrone, Bruna and de Laroussilhe, Quentin and Gesmundo, Andrea and Attariyan, Mona and Gelly, Sylvain</x:v>
      </x:c>
      <x:c r="D174" s="20" t="str">
        <x:v>2019</x:v>
      </x:c>
      <x:c r="E174" s="20" t="str">
        <x:v>Parameter-Efficient Transfer Learning for NLP</x:v>
      </x:c>
      <x:c r="F174" s="20" t="str">
        <x:v>Proceedings of ICML 2019</x:v>
      </x:c>
      <x:c r="G174" s="20" t="str"/>
      <x:c r="H174" s="20" t="str">
        <x:v>https://proceedings.mlr.press/v97/houlsby19a.html</x:v>
      </x:c>
      <x:c r="I174" s="20" t="str"/>
      <x:c r="J174" s="20" t="str"/>
      <x:c r="K174" s="20" t="str"/>
      <x:c r="L174" s="20" t="str">
        <x:v>10_LLM_Backbones_LowResource</x:v>
      </x:c>
      <x:c r="M174" s="20" t="str">
        <x:v>10_LLM_Backbones_LowResource</x:v>
      </x:c>
      <x:c r="N174" s="20" t="str">
        <x:v>adapters;transfer-learning</x:v>
      </x:c>
      <x:c r="O174" s="20" t="str">
        <x:v>transfer-learning</x:v>
      </x:c>
      <x:c r="P174" s="20" t="str">
        <x:v>multilingual</x:v>
      </x:c>
      <x:c r="Q174" s="20" t="str">
        <x:v>none</x:v>
      </x:c>
      <x:c r="R174" s="20" t="str">
        <x:v>not_applicable</x:v>
      </x:c>
      <x:c r="S174" s="20" t="str">
        <x:v>background</x:v>
      </x:c>
      <x:c r="T174" s="20" t="str">
        <x:v>url_stable_no_doi</x:v>
      </x:c>
      <x:c r="U174" s="20" t="str">
        <x:v>manual_seed</x:v>
      </x:c>
      <x:c r="V174" s="20" t="str"/>
    </x:row>
    <x:row r="175">
      <x:c r="A175" s="20" t="str">
        <x:v>hu2022_lora_low_rank</x:v>
      </x:c>
      <x:c r="B175" s="20" t="str">
        <x:v>inproceedings</x:v>
      </x:c>
      <x:c r="C175" s="20" t="str">
        <x:v>Hu, Edward J. and Shen, Yelong and Wallis, Phillip and Allen-Zhu, Zeyuan and Li, Yuanzhi and Wang, Shean and Wang, Lu and Chen, Weizhu</x:v>
      </x:c>
      <x:c r="D175" s="20" t="str">
        <x:v>2022</x:v>
      </x:c>
      <x:c r="E175" s="20" t="str">
        <x:v>LoRA: Low-Rank Adaptation of Large Language Models</x:v>
      </x:c>
      <x:c r="F175" s="20" t="str">
        <x:v>International Conference on Learning Representations</x:v>
      </x:c>
      <x:c r="G175" s="20" t="str"/>
      <x:c r="H175" s="20" t="str">
        <x:v>https://openreview.net/forum?id=nZeVKeeFYf9</x:v>
      </x:c>
      <x:c r="I175" s="20" t="str">
        <x:v>2106.09685</x:v>
      </x:c>
      <x:c r="J175" s="20" t="str"/>
      <x:c r="K175" s="20" t="str"/>
      <x:c r="L175" s="20" t="str">
        <x:v>10_LLM_Backbones_LowResource</x:v>
      </x:c>
      <x:c r="M175" s="20" t="str">
        <x:v>10_LLM_Backbones_LowResource</x:v>
      </x:c>
      <x:c r="N175" s="20" t="str">
        <x:v>LoRA;llm;parameter-efficient</x:v>
      </x:c>
      <x:c r="O175" s="20" t="str">
        <x:v>fine-tuning</x:v>
      </x:c>
      <x:c r="P175" s="20" t="str">
        <x:v>multilingual</x:v>
      </x:c>
      <x:c r="Q175" s="20" t="str">
        <x:v>none</x:v>
      </x:c>
      <x:c r="R175" s="20" t="str">
        <x:v>not_applicable</x:v>
      </x:c>
      <x:c r="S175" s="20" t="str">
        <x:v>background</x:v>
      </x:c>
      <x:c r="T175" s="20" t="str">
        <x:v>arxiv_stable_no_doi</x:v>
      </x:c>
      <x:c r="U175" s="20" t="str">
        <x:v>manual_seed</x:v>
      </x:c>
      <x:c r="V175" s="20" t="str"/>
    </x:row>
    <x:row r="176">
      <x:c r="A176" s="20" t="str">
        <x:v>joshi2020_state_fate_linguistic</x:v>
      </x:c>
      <x:c r="B176" s="20" t="str">
        <x:v>inproceedings</x:v>
      </x:c>
      <x:c r="C176" s="20" t="str">
        <x:v>Joshi, Pratik and Santy, Sebastin and Budhiraja, Amar and Bali, Kalika and Choudhury, Monojit</x:v>
      </x:c>
      <x:c r="D176" s="20" t="str">
        <x:v>2020</x:v>
      </x:c>
      <x:c r="E176" s="20" t="str">
        <x:v>The State and Fate of Linguistic Diversity and Inclusion in the NLP World</x:v>
      </x:c>
      <x:c r="F176" s="20" t="str">
        <x:v>Proceedings of ACL 2020</x:v>
      </x:c>
      <x:c r="G176" s="20" t="str">
        <x:v>10.18653/v1/2020.acl-main.560</x:v>
      </x:c>
      <x:c r="H176" s="20" t="str">
        <x:v>https://aclanthology.org/2020.acl-main.560/</x:v>
      </x:c>
      <x:c r="I176" s="20" t="str"/>
      <x:c r="J176" s="20" t="str"/>
      <x:c r="K176" s="20" t="str">
        <x:v>2020.acl-main.560</x:v>
      </x:c>
      <x:c r="L176" s="20" t="str">
        <x:v>10_LLM_Backbones_LowResource</x:v>
      </x:c>
      <x:c r="M176" s="20" t="str">
        <x:v>10_LLM_Backbones_LowResource</x:v>
      </x:c>
      <x:c r="N176" s="20" t="str">
        <x:v>linguistic-diversity;low-resource;survey</x:v>
      </x:c>
      <x:c r="O176" s="20" t="str">
        <x:v>survey</x:v>
      </x:c>
      <x:c r="P176" s="20" t="str">
        <x:v>multilingual</x:v>
      </x:c>
      <x:c r="Q176" s="20" t="str">
        <x:v>none</x:v>
      </x:c>
      <x:c r="R176" s="20" t="str">
        <x:v>transferable</x:v>
      </x:c>
      <x:c r="S176" s="20" t="str">
        <x:v>background</x:v>
      </x:c>
      <x:c r="T176" s="20" t="str">
        <x:v>doi_structurally_verified_from_source</x:v>
      </x:c>
      <x:c r="U176" s="20" t="str">
        <x:v>manual_seed</x:v>
      </x:c>
      <x:c r="V176" s="20" t="str"/>
    </x:row>
    <x:row r="177">
      <x:c r="A177" s="20" t="str">
        <x:v>ruder2019_cross_lingual_word</x:v>
      </x:c>
      <x:c r="B177" s="20" t="str">
        <x:v>article</x:v>
      </x:c>
      <x:c r="C177" s="20" t="str">
        <x:v>Ruder, Sebastian and Vulić, Ivan and Søgaard, Anders</x:v>
      </x:c>
      <x:c r="D177" s="20" t="str">
        <x:v>2019</x:v>
      </x:c>
      <x:c r="E177" s="20" t="str">
        <x:v>A Survey of Cross-lingual Word Embedding Models</x:v>
      </x:c>
      <x:c r="F177" s="20" t="str">
        <x:v>Journal of Artificial Intelligence Research</x:v>
      </x:c>
      <x:c r="G177" s="20" t="str">
        <x:v>10.1613/jair.1.11640</x:v>
      </x:c>
      <x:c r="H177" s="20" t="str">
        <x:v>https://www.jair.org/index.php/jair/article/view/11640</x:v>
      </x:c>
      <x:c r="I177" s="20" t="str"/>
      <x:c r="J177" s="20" t="str"/>
      <x:c r="K177" s="20" t="str"/>
      <x:c r="L177" s="20" t="str">
        <x:v>10_LLM_Backbones_LowResource</x:v>
      </x:c>
      <x:c r="M177" s="20" t="str">
        <x:v>10_LLM_Backbones_LowResource</x:v>
      </x:c>
      <x:c r="N177" s="20" t="str">
        <x:v>cross-lingual;survey</x:v>
      </x:c>
      <x:c r="O177" s="20" t="str">
        <x:v>survey</x:v>
      </x:c>
      <x:c r="P177" s="20" t="str">
        <x:v>multilingual</x:v>
      </x:c>
      <x:c r="Q177" s="20" t="str">
        <x:v>none</x:v>
      </x:c>
      <x:c r="R177" s="20" t="str">
        <x:v>not_applicable</x:v>
      </x:c>
      <x:c r="S177" s="20" t="str">
        <x:v>background</x:v>
      </x:c>
      <x:c r="T177" s="20" t="str">
        <x:v>doi_present_needs_crossref_check</x:v>
      </x:c>
      <x:c r="U177" s="20" t="str">
        <x:v>manual_seed</x:v>
      </x:c>
      <x:c r="V177" s="20" t="str"/>
    </x:row>
    <x:row r="178">
      <x:c r="A178" s="20" t="str">
        <x:v>lauscher2020_zero_hero_limitations</x:v>
      </x:c>
      <x:c r="B178" s="20" t="str">
        <x:v>inproceedings</x:v>
      </x:c>
      <x:c r="C178" s="20" t="str">
        <x:v>Lauscher, Anne and Ravishankar, Vinit and Vulić, Ivan and Glavaš, Goran</x:v>
      </x:c>
      <x:c r="D178" s="20" t="str">
        <x:v>2020</x:v>
      </x:c>
      <x:c r="E178" s="20" t="str">
        <x:v>From Zero to Hero: On the Limitations of Zero-Shot Cross-Lingual Transfer with Multilingual Transformers</x:v>
      </x:c>
      <x:c r="F178" s="20" t="str">
        <x:v>Proceedings of EMNLP 2020</x:v>
      </x:c>
      <x:c r="G178" s="20" t="str">
        <x:v>10.18653/v1/2020.emnlp-main.363</x:v>
      </x:c>
      <x:c r="H178" s="20" t="str">
        <x:v>https://aclanthology.org/2020.emnlp-main.363/</x:v>
      </x:c>
      <x:c r="I178" s="20" t="str"/>
      <x:c r="J178" s="20" t="str"/>
      <x:c r="K178" s="20" t="str">
        <x:v>2020.emnlp-main.363</x:v>
      </x:c>
      <x:c r="L178" s="20" t="str">
        <x:v>10_LLM_Backbones_LowResource</x:v>
      </x:c>
      <x:c r="M178" s="20" t="str">
        <x:v>10_LLM_Backbones_LowResource</x:v>
      </x:c>
      <x:c r="N178" s="20" t="str">
        <x:v>cross-lingual;low-resource;zero-shot</x:v>
      </x:c>
      <x:c r="O178" s="20" t="str">
        <x:v>transfer-learning</x:v>
      </x:c>
      <x:c r="P178" s="20" t="str">
        <x:v>multilingual</x:v>
      </x:c>
      <x:c r="Q178" s="20" t="str">
        <x:v>none</x:v>
      </x:c>
      <x:c r="R178" s="20" t="str">
        <x:v>not_applicable</x:v>
      </x:c>
      <x:c r="S178" s="20" t="str">
        <x:v>supporting</x:v>
      </x:c>
      <x:c r="T178" s="20" t="str">
        <x:v>doi_structurally_verified_from_source</x:v>
      </x:c>
      <x:c r="U178" s="20" t="str">
        <x:v>manual_seed</x:v>
      </x:c>
      <x:c r="V178" s="20" t="str"/>
    </x:row>
    <x:row r="179">
      <x:c r="A179" s="20" t="str">
        <x:v>touvron2023_llama_2_open</x:v>
      </x:c>
      <x:c r="B179" s="20" t="str">
        <x:v>misc</x:v>
      </x:c>
      <x:c r="C179" s="20" t="str">
        <x:v>Touvron, Hugo and Martin, Louis and Stone, Kevin and Albert, Peter and Almahairi, Amjad and Babaei, Yasmine and Bashlykov, Nikolay and Batra, Soumya and Bhargava, Prajjwal and Bhosale, Shruti and others</x:v>
      </x:c>
      <x:c r="D179" s="20" t="str">
        <x:v>2023</x:v>
      </x:c>
      <x:c r="E179" s="20" t="str">
        <x:v>Llama 2: Open Foundation and Fine-Tuned Chat Models</x:v>
      </x:c>
      <x:c r="F179" s="20" t="str">
        <x:v>arXiv preprint</x:v>
      </x:c>
      <x:c r="G179" s="20" t="str"/>
      <x:c r="H179" s="20" t="str">
        <x:v>https://arxiv.org/abs/2307.09288</x:v>
      </x:c>
      <x:c r="I179" s="20" t="str">
        <x:v>2307.09288</x:v>
      </x:c>
      <x:c r="J179" s="20" t="str"/>
      <x:c r="K179" s="20" t="str"/>
      <x:c r="L179" s="20" t="str">
        <x:v>10_LLM_Backbones_LowResource</x:v>
      </x:c>
      <x:c r="M179" s="20" t="str">
        <x:v>10_LLM_Backbones_LowResource</x:v>
      </x:c>
      <x:c r="N179" s="20" t="str">
        <x:v>baseline;llm</x:v>
      </x:c>
      <x:c r="O179" s="20" t="str">
        <x:v>language-model</x:v>
      </x:c>
      <x:c r="P179" s="20" t="str">
        <x:v>multilingual</x:v>
      </x:c>
      <x:c r="Q179" s="20" t="str">
        <x:v>none</x:v>
      </x:c>
      <x:c r="R179" s="20" t="str">
        <x:v>not_applicable</x:v>
      </x:c>
      <x:c r="S179" s="20" t="str">
        <x:v>baseline</x:v>
      </x:c>
      <x:c r="T179" s="20" t="str">
        <x:v>arxiv_stable_no_doi</x:v>
      </x:c>
      <x:c r="U179" s="20" t="str">
        <x:v>manual_seed</x:v>
      </x:c>
      <x:c r="V179" s="20" t="str"/>
    </x:row>
    <x:row r="180">
      <x:c r="A180" s="20" t="str">
        <x:v>dubey2024_llama_3_herd</x:v>
      </x:c>
      <x:c r="B180" s="20" t="str">
        <x:v>misc</x:v>
      </x:c>
      <x:c r="C180" s="20" t="str">
        <x:v>Dubey, Abhimanyu and Jauhri, Abhinav and Pandey, Abhinav and Kadian, Abhishek and Al-Dahle, Ahmad and Letman, Aiesha and Mathur, Akhil and Schelten, Alan and Yang, Amy and Fan, Angela and others</x:v>
      </x:c>
      <x:c r="D180" s="20" t="str">
        <x:v>2024</x:v>
      </x:c>
      <x:c r="E180" s="20" t="str">
        <x:v>The Llama 3 Herd of Models</x:v>
      </x:c>
      <x:c r="F180" s="20" t="str">
        <x:v>arXiv preprint</x:v>
      </x:c>
      <x:c r="G180" s="20" t="str"/>
      <x:c r="H180" s="20" t="str">
        <x:v>https://arxiv.org/abs/2407.21783</x:v>
      </x:c>
      <x:c r="I180" s="20" t="str">
        <x:v>2407.21783</x:v>
      </x:c>
      <x:c r="J180" s="20" t="str"/>
      <x:c r="K180" s="20" t="str"/>
      <x:c r="L180" s="20" t="str">
        <x:v>10_LLM_Backbones_LowResource</x:v>
      </x:c>
      <x:c r="M180" s="20" t="str">
        <x:v>10_LLM_Backbones_LowResource</x:v>
      </x:c>
      <x:c r="N180" s="20" t="str">
        <x:v>baseline;llm</x:v>
      </x:c>
      <x:c r="O180" s="20" t="str">
        <x:v>language-model</x:v>
      </x:c>
      <x:c r="P180" s="20" t="str">
        <x:v>multilingual</x:v>
      </x:c>
      <x:c r="Q180" s="20" t="str">
        <x:v>none</x:v>
      </x:c>
      <x:c r="R180" s="20" t="str">
        <x:v>not_applicable</x:v>
      </x:c>
      <x:c r="S180" s="20" t="str">
        <x:v>baseline</x:v>
      </x:c>
      <x:c r="T180" s="20" t="str">
        <x:v>arxiv_stable_no_doi</x:v>
      </x:c>
      <x:c r="U180" s="20" t="str">
        <x:v>manual_seed</x:v>
      </x:c>
      <x:c r="V180" s="20" t="str"/>
    </x:row>
    <x:row r="181">
      <x:c r="A181" s="20" t="str">
        <x:v>yang2024_qwen2_5_technical</x:v>
      </x:c>
      <x:c r="B181" s="20" t="str">
        <x:v>misc</x:v>
      </x:c>
      <x:c r="C181" s="20" t="str">
        <x:v>Yang, An and Yang, Baosong and Zhang, Binyuan and Hui, Binyuan and Zheng, Bo and Yu, Bowen and Li, Chengyuan and Liu, Dayiheng and Huang, Fei and Wei, Haoran and others</x:v>
      </x:c>
      <x:c r="D181" s="20" t="str">
        <x:v>2024</x:v>
      </x:c>
      <x:c r="E181" s="20" t="str">
        <x:v>Qwen2.5 Technical Report</x:v>
      </x:c>
      <x:c r="F181" s="20" t="str">
        <x:v>arXiv preprint</x:v>
      </x:c>
      <x:c r="G181" s="20" t="str"/>
      <x:c r="H181" s="20" t="str">
        <x:v>https://arxiv.org/abs/2412.15115</x:v>
      </x:c>
      <x:c r="I181" s="20" t="str">
        <x:v>2412.15115</x:v>
      </x:c>
      <x:c r="J181" s="20" t="str"/>
      <x:c r="K181" s="20" t="str"/>
      <x:c r="L181" s="20" t="str">
        <x:v>10_LLM_Backbones_LowResource</x:v>
      </x:c>
      <x:c r="M181" s="20" t="str">
        <x:v>10_LLM_Backbones_LowResource</x:v>
      </x:c>
      <x:c r="N181" s="20" t="str">
        <x:v>baseline;llm</x:v>
      </x:c>
      <x:c r="O181" s="20" t="str">
        <x:v>language-model</x:v>
      </x:c>
      <x:c r="P181" s="20" t="str">
        <x:v>multilingual</x:v>
      </x:c>
      <x:c r="Q181" s="20" t="str">
        <x:v>none</x:v>
      </x:c>
      <x:c r="R181" s="20" t="str">
        <x:v>not_applicable</x:v>
      </x:c>
      <x:c r="S181" s="20" t="str">
        <x:v>baseline</x:v>
      </x:c>
      <x:c r="T181" s="20" t="str">
        <x:v>arxiv_stable_no_doi</x:v>
      </x:c>
      <x:c r="U181" s="20" t="str">
        <x:v>manual_seed</x:v>
      </x:c>
      <x:c r="V181" s="20" t="str"/>
    </x:row>
    <x:row r="182">
      <x:c r="A182" s="20" t="str">
        <x:v>team2024_gemma_open_gemini</x:v>
      </x:c>
      <x:c r="B182" s="20" t="str">
        <x:v>misc</x:v>
      </x:c>
      <x:c r="C182" s="20" t="str">
        <x:v>Team, Gemma and Mesnard, Thomas and Hardin, Cassidy and Dadashi, Robert and Bhupatiraju, Surya and Pathak, Shreya and Sifre, Laurent and Rivière, Morgane and Kale, Mihir Sanjay and Love, Juliette and others</x:v>
      </x:c>
      <x:c r="D182" s="20" t="str">
        <x:v>2024</x:v>
      </x:c>
      <x:c r="E182" s="20" t="str">
        <x:v>Gemma: Open Models Based on Gemini Research and Technology</x:v>
      </x:c>
      <x:c r="F182" s="20" t="str">
        <x:v>arXiv preprint</x:v>
      </x:c>
      <x:c r="G182" s="20" t="str"/>
      <x:c r="H182" s="20" t="str">
        <x:v>https://arxiv.org/abs/2403.08295</x:v>
      </x:c>
      <x:c r="I182" s="20" t="str">
        <x:v>2403.08295</x:v>
      </x:c>
      <x:c r="J182" s="20" t="str"/>
      <x:c r="K182" s="20" t="str"/>
      <x:c r="L182" s="20" t="str">
        <x:v>10_LLM_Backbones_LowResource</x:v>
      </x:c>
      <x:c r="M182" s="20" t="str">
        <x:v>10_LLM_Backbones_LowResource</x:v>
      </x:c>
      <x:c r="N182" s="20" t="str">
        <x:v>baseline;llm</x:v>
      </x:c>
      <x:c r="O182" s="20" t="str">
        <x:v>language-model</x:v>
      </x:c>
      <x:c r="P182" s="20" t="str">
        <x:v>multilingual</x:v>
      </x:c>
      <x:c r="Q182" s="20" t="str">
        <x:v>none</x:v>
      </x:c>
      <x:c r="R182" s="20" t="str">
        <x:v>not_applicable</x:v>
      </x:c>
      <x:c r="S182" s="20" t="str">
        <x:v>baseline</x:v>
      </x:c>
      <x:c r="T182" s="20" t="str">
        <x:v>arxiv_stable_no_doi</x:v>
      </x:c>
      <x:c r="U182" s="20" t="str">
        <x:v>manual_seed</x:v>
      </x:c>
      <x:c r="V182" s="20" t="str"/>
    </x:row>
    <x:row r="183">
      <x:c r="A183" s="20" t="str">
        <x:v>team2024_gemma_2_improving</x:v>
      </x:c>
      <x:c r="B183" s="20" t="str">
        <x:v>misc</x:v>
      </x:c>
      <x:c r="C183" s="20" t="str">
        <x:v>Team, Gemma and others</x:v>
      </x:c>
      <x:c r="D183" s="20" t="str">
        <x:v>2024</x:v>
      </x:c>
      <x:c r="E183" s="20" t="str">
        <x:v>Gemma 2: Improving Open Language Models at a Practical Size</x:v>
      </x:c>
      <x:c r="F183" s="20" t="str">
        <x:v>arXiv preprint</x:v>
      </x:c>
      <x:c r="G183" s="20" t="str"/>
      <x:c r="H183" s="20" t="str">
        <x:v>https://arxiv.org/abs/2408.00118</x:v>
      </x:c>
      <x:c r="I183" s="20" t="str">
        <x:v>2408.00118</x:v>
      </x:c>
      <x:c r="J183" s="20" t="str"/>
      <x:c r="K183" s="20" t="str"/>
      <x:c r="L183" s="20" t="str">
        <x:v>10_LLM_Backbones_LowResource</x:v>
      </x:c>
      <x:c r="M183" s="20" t="str">
        <x:v>10_LLM_Backbones_LowResource</x:v>
      </x:c>
      <x:c r="N183" s="20" t="str">
        <x:v>baseline;llm</x:v>
      </x:c>
      <x:c r="O183" s="20" t="str">
        <x:v>language-model</x:v>
      </x:c>
      <x:c r="P183" s="20" t="str">
        <x:v>multilingual</x:v>
      </x:c>
      <x:c r="Q183" s="20" t="str">
        <x:v>none</x:v>
      </x:c>
      <x:c r="R183" s="20" t="str">
        <x:v>not_applicable</x:v>
      </x:c>
      <x:c r="S183" s="20" t="str">
        <x:v>baseline</x:v>
      </x:c>
      <x:c r="T183" s="20" t="str">
        <x:v>arxiv_stable_no_doi</x:v>
      </x:c>
      <x:c r="U183" s="20" t="str">
        <x:v>manual_seed</x:v>
      </x:c>
      <x:c r="V183" s="20" t="str"/>
    </x:row>
    <x:row r="184">
      <x:c r="A184" s="20" t="str">
        <x:v>jiang2023_mistral_7b</x:v>
      </x:c>
      <x:c r="B184" s="20" t="str">
        <x:v>misc</x:v>
      </x:c>
      <x:c r="C184" s="20" t="str">
        <x:v>Jiang, Albert Q. and Sablayrolles, Alexandre and Mensch, Arthur and Bamford, Chris and Chaplot, Devendra Singh and Casas, Diego de las and Bressand, Florian and Lengyel, Gianna and Lample, Guillaume and Saulnier, Lucile and others</x:v>
      </x:c>
      <x:c r="D184" s="20" t="str">
        <x:v>2023</x:v>
      </x:c>
      <x:c r="E184" s="20" t="str">
        <x:v>Mistral 7B</x:v>
      </x:c>
      <x:c r="F184" s="20" t="str">
        <x:v>arXiv preprint</x:v>
      </x:c>
      <x:c r="G184" s="20" t="str"/>
      <x:c r="H184" s="20" t="str">
        <x:v>https://arxiv.org/abs/2310.06825</x:v>
      </x:c>
      <x:c r="I184" s="20" t="str">
        <x:v>2310.06825</x:v>
      </x:c>
      <x:c r="J184" s="20" t="str"/>
      <x:c r="K184" s="20" t="str"/>
      <x:c r="L184" s="20" t="str">
        <x:v>10_LLM_Backbones_LowResource</x:v>
      </x:c>
      <x:c r="M184" s="20" t="str">
        <x:v>10_LLM_Backbones_LowResource</x:v>
      </x:c>
      <x:c r="N184" s="20" t="str">
        <x:v>baseline;llm</x:v>
      </x:c>
      <x:c r="O184" s="20" t="str">
        <x:v>language-model</x:v>
      </x:c>
      <x:c r="P184" s="20" t="str">
        <x:v>multilingual</x:v>
      </x:c>
      <x:c r="Q184" s="20" t="str">
        <x:v>none</x:v>
      </x:c>
      <x:c r="R184" s="20" t="str">
        <x:v>not_applicable</x:v>
      </x:c>
      <x:c r="S184" s="20" t="str">
        <x:v>baseline</x:v>
      </x:c>
      <x:c r="T184" s="20" t="str">
        <x:v>arxiv_stable_no_doi</x:v>
      </x:c>
      <x:c r="U184" s="20" t="str">
        <x:v>manual_seed</x:v>
      </x:c>
      <x:c r="V184" s="20" t="str"/>
    </x:row>
    <x:row r="185">
      <x:c r="A185" s="20" t="str">
        <x:v>dettmers2023_qlora_efficient_finetuning</x:v>
      </x:c>
      <x:c r="B185" s="20" t="str">
        <x:v>inproceedings</x:v>
      </x:c>
      <x:c r="C185" s="20" t="str">
        <x:v>Dettmers, Tim and Pagnoni, Artidoro and Holtzman, Ari and Zettlemoyer, Luke</x:v>
      </x:c>
      <x:c r="D185" s="20" t="str">
        <x:v>2023</x:v>
      </x:c>
      <x:c r="E185" s="20" t="str">
        <x:v>QLoRA: Efficient Finetuning of Quantized LLMs</x:v>
      </x:c>
      <x:c r="F185" s="20" t="str">
        <x:v>Advances in Neural Information Processing Systems</x:v>
      </x:c>
      <x:c r="G185" s="20" t="str"/>
      <x:c r="H185" s="20" t="str">
        <x:v>https://arxiv.org/abs/2305.14314</x:v>
      </x:c>
      <x:c r="I185" s="20" t="str">
        <x:v>2305.14314</x:v>
      </x:c>
      <x:c r="J185" s="20" t="str"/>
      <x:c r="K185" s="20" t="str"/>
      <x:c r="L185" s="20" t="str">
        <x:v>10_LLM_Backbones_LowResource</x:v>
      </x:c>
      <x:c r="M185" s="20" t="str">
        <x:v>10_LLM_Backbones_LowResource</x:v>
      </x:c>
      <x:c r="N185" s="20" t="str">
        <x:v>QLoRA;fine-tuning;llm</x:v>
      </x:c>
      <x:c r="O185" s="20" t="str">
        <x:v>fine-tuning</x:v>
      </x:c>
      <x:c r="P185" s="20" t="str">
        <x:v>multilingual</x:v>
      </x:c>
      <x:c r="Q185" s="20" t="str">
        <x:v>none</x:v>
      </x:c>
      <x:c r="R185" s="20" t="str">
        <x:v>not_applicable</x:v>
      </x:c>
      <x:c r="S185" s="20" t="str">
        <x:v>supporting</x:v>
      </x:c>
      <x:c r="T185" s="20" t="str">
        <x:v>arxiv_stable_no_doi</x:v>
      </x:c>
      <x:c r="U185" s="20" t="str">
        <x:v>manual_seed</x:v>
      </x:c>
      <x:c r="V185" s="20" t="str"/>
    </x:row>
    <x:row r="186">
      <x:c r="A186" s="20" t="str">
        <x:v>dettmers2022_llm_int8_8</x:v>
      </x:c>
      <x:c r="B186" s="20" t="str">
        <x:v>inproceedings</x:v>
      </x:c>
      <x:c r="C186" s="20" t="str">
        <x:v>Dettmers, Tim and Lewis, Mike and Belkada, Younes and Zettlemoyer, Luke</x:v>
      </x:c>
      <x:c r="D186" s="20" t="str">
        <x:v>2022</x:v>
      </x:c>
      <x:c r="E186" s="20" t="str">
        <x:v>LLM.int8(): 8-bit Matrix Multiplication for Transformers at Scale</x:v>
      </x:c>
      <x:c r="F186" s="20" t="str">
        <x:v>Advances in Neural Information Processing Systems</x:v>
      </x:c>
      <x:c r="G186" s="20" t="str"/>
      <x:c r="H186" s="20" t="str">
        <x:v>https://arxiv.org/abs/2208.07339</x:v>
      </x:c>
      <x:c r="I186" s="20" t="str">
        <x:v>2208.07339</x:v>
      </x:c>
      <x:c r="J186" s="20" t="str"/>
      <x:c r="K186" s="20" t="str"/>
      <x:c r="L186" s="20" t="str">
        <x:v>10_LLM_Backbones_LowResource</x:v>
      </x:c>
      <x:c r="M186" s="20" t="str">
        <x:v>10_LLM_Backbones_LowResource</x:v>
      </x:c>
      <x:c r="N186" s="20" t="str">
        <x:v>llm;quantization</x:v>
      </x:c>
      <x:c r="O186" s="20" t="str">
        <x:v>deployment</x:v>
      </x:c>
      <x:c r="P186" s="20" t="str">
        <x:v>multilingual</x:v>
      </x:c>
      <x:c r="Q186" s="20" t="str">
        <x:v>none</x:v>
      </x:c>
      <x:c r="R186" s="20" t="str">
        <x:v>not_applicable</x:v>
      </x:c>
      <x:c r="S186" s="20" t="str">
        <x:v>supporting</x:v>
      </x:c>
      <x:c r="T186" s="20" t="str">
        <x:v>arxiv_stable_no_doi</x:v>
      </x:c>
      <x:c r="U186" s="20" t="str">
        <x:v>manual_seed</x:v>
      </x:c>
      <x:c r="V186" s="20" t="str"/>
    </x:row>
    <x:row r="187">
      <x:c r="A187" s="20" t="str">
        <x:v>johnson2016_mimic_iii_freely</x:v>
      </x:c>
      <x:c r="B187" s="20" t="str">
        <x:v>article</x:v>
      </x:c>
      <x:c r="C187" s="20" t="str">
        <x:v>Johnson, Alistair E. W. and Pollard, Tom J. and Shen, Lu and Lehman, Li-wei H. and Feng, Mengling and Ghassemi, Mohammad and Moody, Benjamin and Szolovits, Peter and Celi, Leo Anthony and Mark, Roger G.</x:v>
      </x:c>
      <x:c r="D187" s="20" t="str">
        <x:v>2016</x:v>
      </x:c>
      <x:c r="E187" s="20" t="str">
        <x:v>MIMIC-III, A Freely Accessible Critical Care Database</x:v>
      </x:c>
      <x:c r="F187" s="20" t="str">
        <x:v>Scientific Data</x:v>
      </x:c>
      <x:c r="G187" s="20" t="str">
        <x:v>10.1038/sdata.2016.35</x:v>
      </x:c>
      <x:c r="H187" s="20" t="str">
        <x:v>https://www.nature.com/articles/sdata201635</x:v>
      </x:c>
      <x:c r="I187" s="20" t="str"/>
      <x:c r="J187" s="20" t="str"/>
      <x:c r="K187" s="20" t="str"/>
      <x:c r="L187" s="20" t="str">
        <x:v>11_Clinical_NLP_Datasets</x:v>
      </x:c>
      <x:c r="M187" s="20" t="str">
        <x:v>11_Clinical_NLP_Datasets</x:v>
      </x:c>
      <x:c r="N187" s="20" t="str">
        <x:v>MIMIC;clinical;dataset</x:v>
      </x:c>
      <x:c r="O187" s="20" t="str">
        <x:v>resource</x:v>
      </x:c>
      <x:c r="P187" s="20" t="str">
        <x:v>en</x:v>
      </x:c>
      <x:c r="Q187" s="20" t="str">
        <x:v>none</x:v>
      </x:c>
      <x:c r="R187" s="20" t="str">
        <x:v>not_applicable</x:v>
      </x:c>
      <x:c r="S187" s="20" t="str">
        <x:v>background</x:v>
      </x:c>
      <x:c r="T187" s="20" t="str">
        <x:v>doi_structurally_verified_from_source</x:v>
      </x:c>
      <x:c r="U187" s="20" t="str">
        <x:v>manual_seed</x:v>
      </x:c>
      <x:c r="V187" s="20" t="str"/>
    </x:row>
    <x:row r="188">
      <x:c r="A188" s="20" t="str">
        <x:v>johnson2023_mimic_iv_freely</x:v>
      </x:c>
      <x:c r="B188" s="20" t="str">
        <x:v>article</x:v>
      </x:c>
      <x:c r="C188" s="20" t="str">
        <x:v>Johnson, Alistair E. W. and Bulgarelli, Lucas and Shen, Lu and Gayles, Alvin and Shammout, Ayad and Horng, Steven and Pollard, Tom J. and Hao, Sicheng and Moody, Benjamin and Gow, Brian and Lehman, Li-wei H. and Celi, Leo Anthony and Mark, Roger G.</x:v>
      </x:c>
      <x:c r="D188" s="20" t="str">
        <x:v>2023</x:v>
      </x:c>
      <x:c r="E188" s="20" t="str">
        <x:v>MIMIC-IV, A Freely Accessible Electronic Health Record Dataset</x:v>
      </x:c>
      <x:c r="F188" s="20" t="str">
        <x:v>Scientific Data</x:v>
      </x:c>
      <x:c r="G188" s="20" t="str">
        <x:v>10.1038/s41597-022-01899-x</x:v>
      </x:c>
      <x:c r="H188" s="20" t="str">
        <x:v>https://www.nature.com/articles/s41597-022-01899-x</x:v>
      </x:c>
      <x:c r="I188" s="20" t="str"/>
      <x:c r="J188" s="20" t="str"/>
      <x:c r="K188" s="20" t="str"/>
      <x:c r="L188" s="20" t="str">
        <x:v>11_Clinical_NLP_Datasets</x:v>
      </x:c>
      <x:c r="M188" s="20" t="str">
        <x:v>11_Clinical_NLP_Datasets</x:v>
      </x:c>
      <x:c r="N188" s="20" t="str">
        <x:v>MIMIC;clinical;dataset</x:v>
      </x:c>
      <x:c r="O188" s="20" t="str">
        <x:v>resource</x:v>
      </x:c>
      <x:c r="P188" s="20" t="str">
        <x:v>en</x:v>
      </x:c>
      <x:c r="Q188" s="20" t="str">
        <x:v>none</x:v>
      </x:c>
      <x:c r="R188" s="20" t="str">
        <x:v>not_applicable</x:v>
      </x:c>
      <x:c r="S188" s="20" t="str">
        <x:v>background</x:v>
      </x:c>
      <x:c r="T188" s="20" t="str">
        <x:v>doi_structurally_verified_from_source</x:v>
      </x:c>
      <x:c r="U188" s="20" t="str">
        <x:v>manual_seed</x:v>
      </x:c>
      <x:c r="V188" s="20" t="str"/>
    </x:row>
    <x:row r="189">
      <x:c r="A189" s="20" t="str">
        <x:v>irvin2019_chexpert_chest_radiograph</x:v>
      </x:c>
      <x:c r="B189" s="20" t="str">
        <x:v>inproceedings</x:v>
      </x:c>
      <x:c r="C189" s="20" t="str">
        <x:v>Irvin, Jeremy and Rajpurkar, Pranav and Ko, Michael and Yu, Yifan and Ciurea-Ilcus, Silviana and Chute, Chris and Marklund, Henrik and Haghgoo, Behzad and Ball, Robyn and Shpanskaya, Katie and Seekins, Jayne and Mong, David A. and Halabi, Safwan S. and Sandberg, Jill K. and Jones, Ricky and Larson, David B. and Langlotz, Curtis P. and Patel, Bhavik N. and Lungren, Matthew P. and Ng, Andrew Y.</x:v>
      </x:c>
      <x:c r="D189" s="20" t="str">
        <x:v>2019</x:v>
      </x:c>
      <x:c r="E189" s="20" t="str">
        <x:v>CheXpert: A Large Chest Radiograph Dataset with Uncertainty Labels and Expert Comparison</x:v>
      </x:c>
      <x:c r="F189" s="20" t="str">
        <x:v>Proceedings of the AAAI Conference on Artificial Intelligence</x:v>
      </x:c>
      <x:c r="G189" s="20" t="str">
        <x:v>10.1609/aaai.v33i01.3301590</x:v>
      </x:c>
      <x:c r="H189" s="20" t="str">
        <x:v>https://ojs.aaai.org/index.php/AAAI/article/view/3834</x:v>
      </x:c>
      <x:c r="I189" s="20" t="str"/>
      <x:c r="J189" s="20" t="str"/>
      <x:c r="K189" s="20" t="str"/>
      <x:c r="L189" s="20" t="str">
        <x:v>11_Clinical_NLP_Datasets</x:v>
      </x:c>
      <x:c r="M189" s="20" t="str">
        <x:v>11_Clinical_NLP_Datasets</x:v>
      </x:c>
      <x:c r="N189" s="20" t="str">
        <x:v>clinical;dataset;radiology</x:v>
      </x:c>
      <x:c r="O189" s="20" t="str">
        <x:v>resource</x:v>
      </x:c>
      <x:c r="P189" s="20" t="str">
        <x:v>en</x:v>
      </x:c>
      <x:c r="Q189" s="20" t="str">
        <x:v>none</x:v>
      </x:c>
      <x:c r="R189" s="20" t="str">
        <x:v>not_applicable</x:v>
      </x:c>
      <x:c r="S189" s="20" t="str">
        <x:v>background</x:v>
      </x:c>
      <x:c r="T189" s="20" t="str">
        <x:v>doi_structurally_verified_from_source</x:v>
      </x:c>
      <x:c r="U189" s="20" t="str">
        <x:v>manual_seed</x:v>
      </x:c>
      <x:c r="V189" s="20" t="str"/>
    </x:row>
    <x:row r="190">
      <x:c r="A190" s="20" t="str">
        <x:v>bustos2020_padchest_chest_x</x:v>
      </x:c>
      <x:c r="B190" s="20" t="str">
        <x:v>article</x:v>
      </x:c>
      <x:c r="C190" s="20" t="str">
        <x:v>Bustos, Aurelia and Pertusa, Antonio and Salinas, José-María and de la Iglesia-Vayá, María</x:v>
      </x:c>
      <x:c r="D190" s="20" t="str">
        <x:v>2020</x:v>
      </x:c>
      <x:c r="E190" s="20" t="str">
        <x:v>PadChest: A Large Chest X-Ray Image Dataset with Multi-label Annotated Reports</x:v>
      </x:c>
      <x:c r="F190" s="20" t="str">
        <x:v>Medical Image Analysis</x:v>
      </x:c>
      <x:c r="G190" s="20" t="str">
        <x:v>10.1016/j.media.2020.101797</x:v>
      </x:c>
      <x:c r="H190" s="20" t="str">
        <x:v>https://doi.org/10.1016/j.media.2020.101797</x:v>
      </x:c>
      <x:c r="I190" s="20" t="str"/>
      <x:c r="J190" s="20" t="str"/>
      <x:c r="K190" s="20" t="str"/>
      <x:c r="L190" s="20" t="str">
        <x:v>11_Clinical_NLP_Datasets</x:v>
      </x:c>
      <x:c r="M190" s="20" t="str">
        <x:v>11_Clinical_NLP_Datasets</x:v>
      </x:c>
      <x:c r="N190" s="20" t="str">
        <x:v>clinical;dataset;radiology</x:v>
      </x:c>
      <x:c r="O190" s="20" t="str">
        <x:v>resource</x:v>
      </x:c>
      <x:c r="P190" s="20" t="str">
        <x:v>es</x:v>
      </x:c>
      <x:c r="Q190" s="20" t="str">
        <x:v>none</x:v>
      </x:c>
      <x:c r="R190" s="20" t="str">
        <x:v>not_applicable</x:v>
      </x:c>
      <x:c r="S190" s="20" t="str">
        <x:v>background</x:v>
      </x:c>
      <x:c r="T190" s="20" t="str">
        <x:v>doi_structurally_verified_from_source</x:v>
      </x:c>
      <x:c r="U190" s="20" t="str">
        <x:v>manual_seed</x:v>
      </x:c>
      <x:c r="V190" s="20" t="str"/>
    </x:row>
    <x:row r="191">
      <x:c r="A191" s="20" t="str">
        <x:v>demnerfushman2016_preparing_collection_radiology</x:v>
      </x:c>
      <x:c r="B191" s="20" t="str">
        <x:v>article</x:v>
      </x:c>
      <x:c r="C191" s="20" t="str">
        <x:v>Demner-Fushman, Dina and Kohli, Marc D. and Rosenman, Marc B. and Shooshan, Sonya E. and Rodriguez, Laritza and Antani, Sameer and Thoma, George R. and McDonald, Clement J.</x:v>
      </x:c>
      <x:c r="D191" s="20" t="str">
        <x:v>2016</x:v>
      </x:c>
      <x:c r="E191" s="20" t="str">
        <x:v>Preparing a Collection of Radiology Examinations for Distribution and Retrieval</x:v>
      </x:c>
      <x:c r="F191" s="20" t="str">
        <x:v>Journal of the American Medical Informatics Association</x:v>
      </x:c>
      <x:c r="G191" s="20" t="str">
        <x:v>10.1093/jamia/ocv080</x:v>
      </x:c>
      <x:c r="H191" s="20" t="str">
        <x:v>https://academic.oup.com/jamia/article/23/2/304/2379821</x:v>
      </x:c>
      <x:c r="I191" s="20" t="str"/>
      <x:c r="J191" s="20" t="str"/>
      <x:c r="K191" s="20" t="str"/>
      <x:c r="L191" s="20" t="str">
        <x:v>11_Clinical_NLP_Datasets</x:v>
      </x:c>
      <x:c r="M191" s="20" t="str">
        <x:v>11_Clinical_NLP_Datasets</x:v>
      </x:c>
      <x:c r="N191" s="20" t="str">
        <x:v>OpenI;clinical;dataset;radiology</x:v>
      </x:c>
      <x:c r="O191" s="20" t="str">
        <x:v>resource</x:v>
      </x:c>
      <x:c r="P191" s="20" t="str">
        <x:v>en</x:v>
      </x:c>
      <x:c r="Q191" s="20" t="str">
        <x:v>none</x:v>
      </x:c>
      <x:c r="R191" s="20" t="str">
        <x:v>not_applicable</x:v>
      </x:c>
      <x:c r="S191" s="20" t="str">
        <x:v>background</x:v>
      </x:c>
      <x:c r="T191" s="20" t="str">
        <x:v>doi_structurally_verified_from_source</x:v>
      </x:c>
      <x:c r="U191" s="20" t="str">
        <x:v>manual_seed</x:v>
      </x:c>
      <x:c r="V191" s="20" t="str"/>
    </x:row>
    <x:row r="192">
      <x:c r="A192" s="20" t="str">
        <x:v>uzuner2011_2010_i2b2_va</x:v>
      </x:c>
      <x:c r="B192" s="20" t="str">
        <x:v>article</x:v>
      </x:c>
      <x:c r="C192" s="20" t="str">
        <x:v>Uzuner, Özlem and South, Brett R. and Shen, Shuying and DuVall, Scott L.</x:v>
      </x:c>
      <x:c r="D192" s="20" t="str">
        <x:v>2011</x:v>
      </x:c>
      <x:c r="E192" s="20" t="str">
        <x:v>2010 i2b2/VA Challenge on Concepts, Assertions, and Relations in Clinical Text</x:v>
      </x:c>
      <x:c r="F192" s="20" t="str">
        <x:v>Journal of the American Medical Informatics Association</x:v>
      </x:c>
      <x:c r="G192" s="20" t="str">
        <x:v>10.1136/amiajnl-2011-000203</x:v>
      </x:c>
      <x:c r="H192" s="20" t="str">
        <x:v>https://academic.oup.com/jamia/article/18/5/552/829599</x:v>
      </x:c>
      <x:c r="I192" s="20" t="str"/>
      <x:c r="J192" s="20" t="str"/>
      <x:c r="K192" s="20" t="str"/>
      <x:c r="L192" s="20" t="str">
        <x:v>11_Clinical_NLP_Datasets</x:v>
      </x:c>
      <x:c r="M192" s="20" t="str">
        <x:v>11_Clinical_NLP_Datasets</x:v>
      </x:c>
      <x:c r="N192" s="20" t="str">
        <x:v>NER;clinical;dataset;relation-extraction</x:v>
      </x:c>
      <x:c r="O192" s="20" t="str">
        <x:v>NER;relation-extraction</x:v>
      </x:c>
      <x:c r="P192" s="20" t="str">
        <x:v>en</x:v>
      </x:c>
      <x:c r="Q192" s="20" t="str">
        <x:v>relations</x:v>
      </x:c>
      <x:c r="R192" s="20" t="str">
        <x:v>not_applicable</x:v>
      </x:c>
      <x:c r="S192" s="20" t="str">
        <x:v>background</x:v>
      </x:c>
      <x:c r="T192" s="20" t="str">
        <x:v>doi_structurally_verified_from_source</x:v>
      </x:c>
      <x:c r="U192" s="20" t="str">
        <x:v>manual_seed</x:v>
      </x:c>
      <x:c r="V192" s="20" t="str"/>
    </x:row>
    <x:row r="193">
      <x:c r="A193" s="20" t="str">
        <x:v>uzuner2007_evaluating_state_art</x:v>
      </x:c>
      <x:c r="B193" s="20" t="str">
        <x:v>article</x:v>
      </x:c>
      <x:c r="C193" s="20" t="str">
        <x:v>Uzuner, Özlem and Luo, Yuan and Szolovits, Peter</x:v>
      </x:c>
      <x:c r="D193" s="20" t="str">
        <x:v>2007</x:v>
      </x:c>
      <x:c r="E193" s="20" t="str">
        <x:v>Evaluating the State-of-the-Art in Automatic De-identification</x:v>
      </x:c>
      <x:c r="F193" s="20" t="str">
        <x:v>Journal of the American Medical Informatics Association</x:v>
      </x:c>
      <x:c r="G193" s="20" t="str">
        <x:v>10.1197/jamia.M2444</x:v>
      </x:c>
      <x:c r="H193" s="20" t="str">
        <x:v>https://academic.oup.com/jamia/article/14/5/550/790429</x:v>
      </x:c>
      <x:c r="I193" s="20" t="str"/>
      <x:c r="J193" s="20" t="str"/>
      <x:c r="K193" s="20" t="str"/>
      <x:c r="L193" s="20" t="str">
        <x:v>11_Clinical_NLP_Datasets</x:v>
      </x:c>
      <x:c r="M193" s="20" t="str">
        <x:v>11_Clinical_NLP_Datasets</x:v>
      </x:c>
      <x:c r="N193" s="20" t="str">
        <x:v>clinical;dataset;de-identification</x:v>
      </x:c>
      <x:c r="O193" s="20" t="str">
        <x:v>de-identification</x:v>
      </x:c>
      <x:c r="P193" s="20" t="str">
        <x:v>en</x:v>
      </x:c>
      <x:c r="Q193" s="20" t="str">
        <x:v>none</x:v>
      </x:c>
      <x:c r="R193" s="20" t="str">
        <x:v>not_applicable</x:v>
      </x:c>
      <x:c r="S193" s="20" t="str">
        <x:v>background</x:v>
      </x:c>
      <x:c r="T193" s="20" t="str">
        <x:v>doi_present_needs_crossref_check</x:v>
      </x:c>
      <x:c r="U193" s="20" t="str">
        <x:v>manual_seed</x:v>
      </x:c>
      <x:c r="V193" s="20" t="str"/>
    </x:row>
    <x:row r="194">
      <x:c r="A194" s="20" t="str">
        <x:v>henry2020_2018_n2c2_shared</x:v>
      </x:c>
      <x:c r="B194" s="20" t="str">
        <x:v>article</x:v>
      </x:c>
      <x:c r="C194" s="20" t="str">
        <x:v>Henry, Sam and Buchan, Kevin and Filannino, Michele and Stubbs, Amber and Uzuner, Özlem</x:v>
      </x:c>
      <x:c r="D194" s="20" t="str">
        <x:v>2020</x:v>
      </x:c>
      <x:c r="E194" s="20" t="str">
        <x:v>2018 n2c2 Shared Task on Adverse Drug Events and Medication Extraction in Electronic Health Records</x:v>
      </x:c>
      <x:c r="F194" s="20" t="str">
        <x:v>Journal of the American Medical Informatics Association</x:v>
      </x:c>
      <x:c r="G194" s="20" t="str">
        <x:v>10.1093/jamia/ocz166</x:v>
      </x:c>
      <x:c r="H194" s="20" t="str">
        <x:v>https://academic.oup.com/jamia/article/27/1/3/5580141</x:v>
      </x:c>
      <x:c r="I194" s="20" t="str"/>
      <x:c r="J194" s="20" t="str"/>
      <x:c r="K194" s="20" t="str"/>
      <x:c r="L194" s="20" t="str">
        <x:v>11_Clinical_NLP_Datasets</x:v>
      </x:c>
      <x:c r="M194" s="20" t="str">
        <x:v>11_Clinical_NLP_Datasets</x:v>
      </x:c>
      <x:c r="N194" s="20" t="str">
        <x:v>NER;clinical;dataset;medication</x:v>
      </x:c>
      <x:c r="O194" s="20" t="str">
        <x:v>NER;relation-extraction</x:v>
      </x:c>
      <x:c r="P194" s="20" t="str">
        <x:v>en</x:v>
      </x:c>
      <x:c r="Q194" s="20" t="str">
        <x:v>entity_preservation</x:v>
      </x:c>
      <x:c r="R194" s="20" t="str">
        <x:v>not_applicable</x:v>
      </x:c>
      <x:c r="S194" s="20" t="str">
        <x:v>background</x:v>
      </x:c>
      <x:c r="T194" s="20" t="str">
        <x:v>doi_structurally_verified_from_source</x:v>
      </x:c>
      <x:c r="U194" s="20" t="str">
        <x:v>manual_seed</x:v>
      </x:c>
      <x:c r="V194" s="20" t="str"/>
    </x:row>
    <x:row r="195">
      <x:c r="A195" s="20" t="str">
        <x:v>soysal2018_clamp_toolkit_efficiently</x:v>
      </x:c>
      <x:c r="B195" s="20" t="str">
        <x:v>article</x:v>
      </x:c>
      <x:c r="C195" s="20" t="str">
        <x:v>Soysal, Ergin and Wang, Jingqi and Jiang, Min and Wu, Yonghui and Pakhomov, Serguei and Liu, Hongfang and Xu, Hua</x:v>
      </x:c>
      <x:c r="D195" s="20" t="str">
        <x:v>2018</x:v>
      </x:c>
      <x:c r="E195" s="20" t="str">
        <x:v>CLAMP: A Toolkit for Efficiently Building Customized Clinical Natural Language Processing Pipelines</x:v>
      </x:c>
      <x:c r="F195" s="20" t="str">
        <x:v>Journal of the American Medical Informatics Association</x:v>
      </x:c>
      <x:c r="G195" s="20" t="str">
        <x:v>10.1093/jamia/ocx132</x:v>
      </x:c>
      <x:c r="H195" s="20" t="str">
        <x:v>https://academic.oup.com/jamia/article/25/3/331/4645808</x:v>
      </x:c>
      <x:c r="I195" s="20" t="str"/>
      <x:c r="J195" s="20" t="str"/>
      <x:c r="K195" s="20" t="str"/>
      <x:c r="L195" s="20" t="str">
        <x:v>11_Clinical_NLP_Datasets</x:v>
      </x:c>
      <x:c r="M195" s="20" t="str">
        <x:v>11_Clinical_NLP_Datasets</x:v>
      </x:c>
      <x:c r="N195" s="20" t="str">
        <x:v>NER;clinical;toolkit</x:v>
      </x:c>
      <x:c r="O195" s="20" t="str">
        <x:v>clinical-NLP</x:v>
      </x:c>
      <x:c r="P195" s="20" t="str">
        <x:v>en</x:v>
      </x:c>
      <x:c r="Q195" s="20" t="str">
        <x:v>entity_preservation</x:v>
      </x:c>
      <x:c r="R195" s="20" t="str">
        <x:v>not_applicable</x:v>
      </x:c>
      <x:c r="S195" s="20" t="str">
        <x:v>background</x:v>
      </x:c>
      <x:c r="T195" s="20" t="str">
        <x:v>doi_structurally_verified_from_source</x:v>
      </x:c>
      <x:c r="U195" s="20" t="str">
        <x:v>manual_seed</x:v>
      </x:c>
      <x:c r="V195" s="20" t="str"/>
    </x:row>
    <x:row r="196">
      <x:c r="A196" s="20" t="str">
        <x:v>savova2010_mayo_clinical_text</x:v>
      </x:c>
      <x:c r="B196" s="20" t="str">
        <x:v>article</x:v>
      </x:c>
      <x:c r="C196" s="20" t="str">
        <x:v>Savova, Guergana K. and Masanz, James J. and Ogren, Philip V. and Zheng, Jiaping and Sohn, Sunghwan and Kipper-Schuler, Karin C. and Chute, Christopher G.</x:v>
      </x:c>
      <x:c r="D196" s="20" t="str">
        <x:v>2010</x:v>
      </x:c>
      <x:c r="E196" s="20" t="str">
        <x:v>Mayo Clinical Text Analysis and Knowledge Extraction System (cTAKES): Architecture, Component Evaluation and Applications</x:v>
      </x:c>
      <x:c r="F196" s="20" t="str">
        <x:v>Journal of the American Medical Informatics Association</x:v>
      </x:c>
      <x:c r="G196" s="20" t="str">
        <x:v>10.1136/jamia.2009.001560</x:v>
      </x:c>
      <x:c r="H196" s="20" t="str">
        <x:v>https://academic.oup.com/jamia/article/17/5/507/830823</x:v>
      </x:c>
      <x:c r="I196" s="20" t="str"/>
      <x:c r="J196" s="20" t="str"/>
      <x:c r="K196" s="20" t="str"/>
      <x:c r="L196" s="20" t="str">
        <x:v>11_Clinical_NLP_Datasets</x:v>
      </x:c>
      <x:c r="M196" s="20" t="str">
        <x:v>11_Clinical_NLP_Datasets</x:v>
      </x:c>
      <x:c r="N196" s="20" t="str">
        <x:v>cTAKES;clinical;toolkit</x:v>
      </x:c>
      <x:c r="O196" s="20" t="str">
        <x:v>clinical-NLP</x:v>
      </x:c>
      <x:c r="P196" s="20" t="str">
        <x:v>en</x:v>
      </x:c>
      <x:c r="Q196" s="20" t="str">
        <x:v>entity_preservation</x:v>
      </x:c>
      <x:c r="R196" s="20" t="str">
        <x:v>not_applicable</x:v>
      </x:c>
      <x:c r="S196" s="20" t="str">
        <x:v>background</x:v>
      </x:c>
      <x:c r="T196" s="20" t="str">
        <x:v>doi_structurally_verified_from_source</x:v>
      </x:c>
      <x:c r="U196" s="20" t="str">
        <x:v>manual_seed</x:v>
      </x:c>
      <x:c r="V196" s="20" t="str"/>
    </x:row>
    <x:row r="197">
      <x:c r="A197" s="20" t="str">
        <x:v>aronson2010_overview_metamap_historical</x:v>
      </x:c>
      <x:c r="B197" s="20" t="str">
        <x:v>article</x:v>
      </x:c>
      <x:c r="C197" s="20" t="str">
        <x:v>Aronson, Alan R. and Lang, François-Michel</x:v>
      </x:c>
      <x:c r="D197" s="20" t="str">
        <x:v>2010</x:v>
      </x:c>
      <x:c r="E197" s="20" t="str">
        <x:v>An Overview of MetaMap: Historical Perspective and Recent Advances</x:v>
      </x:c>
      <x:c r="F197" s="20" t="str">
        <x:v>Journal of the American Medical Informatics Association</x:v>
      </x:c>
      <x:c r="G197" s="20" t="str">
        <x:v>10.1136/jamia.2009.002733</x:v>
      </x:c>
      <x:c r="H197" s="20" t="str">
        <x:v>https://academic.oup.com/jamia/article/17/3/229/830689</x:v>
      </x:c>
      <x:c r="I197" s="20" t="str"/>
      <x:c r="J197" s="20" t="str"/>
      <x:c r="K197" s="20" t="str"/>
      <x:c r="L197" s="20" t="str">
        <x:v>11_Clinical_NLP_Datasets</x:v>
      </x:c>
      <x:c r="M197" s="20" t="str">
        <x:v>11_Clinical_NLP_Datasets</x:v>
      </x:c>
      <x:c r="N197" s="20" t="str">
        <x:v>MetaMap;UMLS;clinical;toolkit</x:v>
      </x:c>
      <x:c r="O197" s="20" t="str">
        <x:v>entity-linking</x:v>
      </x:c>
      <x:c r="P197" s="20" t="str">
        <x:v>en</x:v>
      </x:c>
      <x:c r="Q197" s="20" t="str">
        <x:v>entity_preservation</x:v>
      </x:c>
      <x:c r="R197" s="20" t="str">
        <x:v>not_applicable</x:v>
      </x:c>
      <x:c r="S197" s="20" t="str">
        <x:v>background</x:v>
      </x:c>
      <x:c r="T197" s="20" t="str">
        <x:v>doi_structurally_verified_from_source</x:v>
      </x:c>
      <x:c r="U197" s="20" t="str">
        <x:v>manual_seed</x:v>
      </x:c>
      <x:c r="V197" s="20" t="str"/>
    </x:row>
    <x:row r="198">
      <x:c r="A198" s="20" t="str">
        <x:v>luo2022_natural_language_processing</x:v>
      </x:c>
      <x:c r="B198" s="20" t="str">
        <x:v>article</x:v>
      </x:c>
      <x:c r="C198" s="20" t="str">
        <x:v>Luo, Yen-Fu and Henry, Sam and Uzuner, Özlem and Szolovits, Peter</x:v>
      </x:c>
      <x:c r="D198" s="20" t="str">
        <x:v>2022</x:v>
      </x:c>
      <x:c r="E198" s="20" t="str">
        <x:v>Natural Language Processing for EHR-Based Computational Phenotyping</x:v>
      </x:c>
      <x:c r="F198" s="20" t="str">
        <x:v>IEEE/ACM Transactions on Computational Biology and Bioinformatics</x:v>
      </x:c>
      <x:c r="G198" s="20" t="str">
        <x:v>10.1109/TCBB.2020.3014350</x:v>
      </x:c>
      <x:c r="H198" s="20" t="str">
        <x:v>https://doi.org/10.1109/TCBB.2020.3014350</x:v>
      </x:c>
      <x:c r="I198" s="20" t="str"/>
      <x:c r="J198" s="20" t="str"/>
      <x:c r="K198" s="20" t="str"/>
      <x:c r="L198" s="20" t="str">
        <x:v>11_Clinical_NLP_Datasets</x:v>
      </x:c>
      <x:c r="M198" s="20" t="str">
        <x:v>11_Clinical_NLP_Datasets</x:v>
      </x:c>
      <x:c r="N198" s="20" t="str">
        <x:v>clinical;phenotyping;survey</x:v>
      </x:c>
      <x:c r="O198" s="20" t="str">
        <x:v>survey</x:v>
      </x:c>
      <x:c r="P198" s="20" t="str">
        <x:v>en</x:v>
      </x:c>
      <x:c r="Q198" s="20" t="str">
        <x:v>none</x:v>
      </x:c>
      <x:c r="R198" s="20" t="str">
        <x:v>not_applicable</x:v>
      </x:c>
      <x:c r="S198" s="20" t="str">
        <x:v>background</x:v>
      </x:c>
      <x:c r="T198" s="20" t="str">
        <x:v>doi_present_needs_crossref_check</x:v>
      </x:c>
      <x:c r="U198" s="20" t="str">
        <x:v>manual_seed</x:v>
      </x:c>
      <x:c r="V198" s="20" t="str"/>
    </x:row>
    <x:row r="199">
      <x:c r="A199" s="20" t="str">
        <x:v>wang2018_clinical_information_extraction</x:v>
      </x:c>
      <x:c r="B199" s="20" t="str">
        <x:v>article</x:v>
      </x:c>
      <x:c r="C199" s="20" t="str">
        <x:v>Wang, Yanshan and Wang, Liwei and Rastegar-Mojarad, Majid and Moon, Sungrim and Shen, Feichen and Afzal, Naveed and Liu, Sijia and Zeng, Yuanshan and Mehrabi, Saeed and Sohn, Sunghwan and Liu, Hongfang</x:v>
      </x:c>
      <x:c r="D199" s="20" t="str">
        <x:v>2018</x:v>
      </x:c>
      <x:c r="E199" s="20" t="str">
        <x:v>Clinical Information Extraction Applications: A Literature Review</x:v>
      </x:c>
      <x:c r="F199" s="20" t="str">
        <x:v>Journal of Biomedical Informatics</x:v>
      </x:c>
      <x:c r="G199" s="20" t="str">
        <x:v>10.1016/j.jbi.2017.11.011</x:v>
      </x:c>
      <x:c r="H199" s="20" t="str">
        <x:v>https://www.sciencedirect.com/science/article/pii/S1532046417302563</x:v>
      </x:c>
      <x:c r="I199" s="20" t="str"/>
      <x:c r="J199" s="20" t="str"/>
      <x:c r="K199" s="20" t="str"/>
      <x:c r="L199" s="20" t="str">
        <x:v>11_Clinical_NLP_Datasets</x:v>
      </x:c>
      <x:c r="M199" s="20" t="str">
        <x:v>11_Clinical_NLP_Datasets</x:v>
      </x:c>
      <x:c r="N199" s="20" t="str">
        <x:v>clinical;information-extraction;review</x:v>
      </x:c>
      <x:c r="O199" s="20" t="str">
        <x:v>survey</x:v>
      </x:c>
      <x:c r="P199" s="20" t="str">
        <x:v>en</x:v>
      </x:c>
      <x:c r="Q199" s="20" t="str">
        <x:v>none</x:v>
      </x:c>
      <x:c r="R199" s="20" t="str">
        <x:v>not_applicable</x:v>
      </x:c>
      <x:c r="S199" s="20" t="str">
        <x:v>background</x:v>
      </x:c>
      <x:c r="T199" s="20" t="str">
        <x:v>doi_structurally_verified_from_source</x:v>
      </x:c>
      <x:c r="U199" s="20" t="str">
        <x:v>manual_seed</x:v>
      </x:c>
      <x:c r="V199" s="20" t="str"/>
    </x:row>
    <x:row r="200">
      <x:c r="A200" s="20" t="str">
        <x:v>jensen2012_mining_electronic_health</x:v>
      </x:c>
      <x:c r="B200" s="20" t="str">
        <x:v>article</x:v>
      </x:c>
      <x:c r="C200" s="20" t="str">
        <x:v>Jensen, Peter B. and Jensen, Lars J. and Brunak, Søren</x:v>
      </x:c>
      <x:c r="D200" s="20" t="str">
        <x:v>2012</x:v>
      </x:c>
      <x:c r="E200" s="20" t="str">
        <x:v>Mining Electronic Health Records: Towards Better Research Applications and Clinical Care</x:v>
      </x:c>
      <x:c r="F200" s="20" t="str">
        <x:v>Nature Reviews Genetics</x:v>
      </x:c>
      <x:c r="G200" s="20" t="str">
        <x:v>10.1038/nrg3208</x:v>
      </x:c>
      <x:c r="H200" s="20" t="str">
        <x:v>https://www.nature.com/articles/nrg3208</x:v>
      </x:c>
      <x:c r="I200" s="20" t="str"/>
      <x:c r="J200" s="20" t="str"/>
      <x:c r="K200" s="20" t="str"/>
      <x:c r="L200" s="20" t="str">
        <x:v>11_Clinical_NLP_Datasets</x:v>
      </x:c>
      <x:c r="M200" s="20" t="str">
        <x:v>11_Clinical_NLP_Datasets</x:v>
      </x:c>
      <x:c r="N200" s="20" t="str">
        <x:v>EHR;clinical;review</x:v>
      </x:c>
      <x:c r="O200" s="20" t="str">
        <x:v>background</x:v>
      </x:c>
      <x:c r="P200" s="20" t="str">
        <x:v>en</x:v>
      </x:c>
      <x:c r="Q200" s="20" t="str">
        <x:v>none</x:v>
      </x:c>
      <x:c r="R200" s="20" t="str">
        <x:v>not_applicable</x:v>
      </x:c>
      <x:c r="S200" s="20" t="str">
        <x:v>background</x:v>
      </x:c>
      <x:c r="T200" s="20" t="str">
        <x:v>doi_structurally_verified_from_source</x:v>
      </x:c>
      <x:c r="U200" s="20" t="str">
        <x:v>manual_seed</x:v>
      </x:c>
      <x:c r="V200" s="20" t="str"/>
    </x:row>
    <x:row r="201">
      <x:c r="A201" s="20" t="str">
        <x:v>shickel2018_deep_ehr_recent</x:v>
      </x:c>
      <x:c r="B201" s="20" t="str">
        <x:v>article</x:v>
      </x:c>
      <x:c r="C201" s="20" t="str">
        <x:v>Shickel, Benjamin and Tighe, Patrick J. and Bihorac, Azra and Rashidi, Parisa</x:v>
      </x:c>
      <x:c r="D201" s="20" t="str">
        <x:v>2018</x:v>
      </x:c>
      <x:c r="E201" s="20" t="str">
        <x:v>Deep EHR: A Survey of Recent Advances in Deep Learning Techniques for Electronic Health Record Analysis</x:v>
      </x:c>
      <x:c r="F201" s="20" t="str">
        <x:v>IEEE Journal of Biomedical and Health Informatics</x:v>
      </x:c>
      <x:c r="G201" s="20" t="str">
        <x:v>10.1109/JBHI.2017.2767063</x:v>
      </x:c>
      <x:c r="H201" s="20" t="str">
        <x:v>https://doi.org/10.1109/JBHI.2017.2767063</x:v>
      </x:c>
      <x:c r="I201" s="20" t="str"/>
      <x:c r="J201" s="20" t="str"/>
      <x:c r="K201" s="20" t="str"/>
      <x:c r="L201" s="20" t="str">
        <x:v>11_Clinical_NLP_Datasets</x:v>
      </x:c>
      <x:c r="M201" s="20" t="str">
        <x:v>11_Clinical_NLP_Datasets</x:v>
      </x:c>
      <x:c r="N201" s="20" t="str">
        <x:v>EHR;clinical;deep-learning;survey</x:v>
      </x:c>
      <x:c r="O201" s="20" t="str">
        <x:v>survey</x:v>
      </x:c>
      <x:c r="P201" s="20" t="str">
        <x:v>en</x:v>
      </x:c>
      <x:c r="Q201" s="20" t="str">
        <x:v>none</x:v>
      </x:c>
      <x:c r="R201" s="20" t="str">
        <x:v>not_applicable</x:v>
      </x:c>
      <x:c r="S201" s="20" t="str">
        <x:v>background</x:v>
      </x:c>
      <x:c r="T201" s="20" t="str">
        <x:v>doi_present_needs_crossref_check</x:v>
      </x:c>
      <x:c r="U201" s="20" t="str">
        <x:v>manual_seed</x:v>
      </x:c>
      <x:c r="V201" s="20" t="str"/>
    </x:row>
    <x:row r="202">
      <x:c r="A202" s="20" t="str">
        <x:v>wallace2016_extracting_pico_sentences</x:v>
      </x:c>
      <x:c r="B202" s="20" t="str">
        <x:v>article</x:v>
      </x:c>
      <x:c r="C202" s="20" t="str">
        <x:v>Wallace, Byron C. and Kuiper, Joël and Sharma, Aakash and Zhu, Mingxi and Marshall, Iain J.</x:v>
      </x:c>
      <x:c r="D202" s="20" t="str">
        <x:v>2016</x:v>
      </x:c>
      <x:c r="E202" s="20" t="str">
        <x:v>Extracting PICO Sentences from Clinical Trial Reports Using Supervised Distant Supervision</x:v>
      </x:c>
      <x:c r="F202" s="20" t="str">
        <x:v>Journal of Machine Learning Research</x:v>
      </x:c>
      <x:c r="G202" s="20" t="str"/>
      <x:c r="H202" s="20" t="str">
        <x:v>https://jmlr.org/papers/v17/15-231.html</x:v>
      </x:c>
      <x:c r="I202" s="20" t="str"/>
      <x:c r="J202" s="20" t="str"/>
      <x:c r="K202" s="20" t="str"/>
      <x:c r="L202" s="20" t="str">
        <x:v>12_Clinical_Summarization_Health_Literacy</x:v>
      </x:c>
      <x:c r="M202" s="20" t="str">
        <x:v>12_Clinical_Summarization_Health_Literacy</x:v>
      </x:c>
      <x:c r="N202" s="20" t="str">
        <x:v>PICO;clinical;evidence-synthesis</x:v>
      </x:c>
      <x:c r="O202" s="20" t="str">
        <x:v>information-extraction</x:v>
      </x:c>
      <x:c r="P202" s="20" t="str">
        <x:v>en</x:v>
      </x:c>
      <x:c r="Q202" s="20" t="str">
        <x:v>none</x:v>
      </x:c>
      <x:c r="R202" s="20" t="str">
        <x:v>not_applicable</x:v>
      </x:c>
      <x:c r="S202" s="20" t="str">
        <x:v>background</x:v>
      </x:c>
      <x:c r="T202" s="20" t="str">
        <x:v>url_stable_no_doi</x:v>
      </x:c>
      <x:c r="U202" s="20" t="str">
        <x:v>manual_seed</x:v>
      </x:c>
      <x:c r="V202" s="20" t="str"/>
    </x:row>
    <x:row r="203">
      <x:c r="A203" s="20" t="str">
        <x:v>marshall2015_automating_risk_bias</x:v>
      </x:c>
      <x:c r="B203" s="20" t="str">
        <x:v>inproceedings</x:v>
      </x:c>
      <x:c r="C203" s="20" t="str">
        <x:v>Marshall, Iain J. and Kuiper, Joël and Wallace, Byron C.</x:v>
      </x:c>
      <x:c r="D203" s="20" t="str">
        <x:v>2015</x:v>
      </x:c>
      <x:c r="E203" s="20" t="str">
        <x:v>Automating Risk of Bias Assessment for Clinical Trials</x:v>
      </x:c>
      <x:c r="F203" s="20" t="str">
        <x:v>Proceedings of the 5th ACM Conference on Bioinformatics, Computational Biology, and Health Informatics</x:v>
      </x:c>
      <x:c r="G203" s="20" t="str">
        <x:v>10.1145/2649387.2649444</x:v>
      </x:c>
      <x:c r="H203" s="20" t="str">
        <x:v>https://doi.org/10.1145/2649387.2649444</x:v>
      </x:c>
      <x:c r="I203" s="20" t="str"/>
      <x:c r="J203" s="20" t="str"/>
      <x:c r="K203" s="20" t="str"/>
      <x:c r="L203" s="20" t="str">
        <x:v>12_Clinical_Summarization_Health_Literacy</x:v>
      </x:c>
      <x:c r="M203" s="20" t="str">
        <x:v>12_Clinical_Summarization_Health_Literacy</x:v>
      </x:c>
      <x:c r="N203" s="20" t="str">
        <x:v>NLP;clinical-trials;risk-of-bias</x:v>
      </x:c>
      <x:c r="O203" s="20" t="str">
        <x:v>information-extraction</x:v>
      </x:c>
      <x:c r="P203" s="20" t="str">
        <x:v>en</x:v>
      </x:c>
      <x:c r="Q203" s="20" t="str">
        <x:v>none</x:v>
      </x:c>
      <x:c r="R203" s="20" t="str">
        <x:v>not_applicable</x:v>
      </x:c>
      <x:c r="S203" s="20" t="str">
        <x:v>background</x:v>
      </x:c>
      <x:c r="T203" s="20" t="str">
        <x:v>doi_structurally_verified_from_source</x:v>
      </x:c>
      <x:c r="U203" s="20" t="str">
        <x:v>manual_seed</x:v>
      </x:c>
      <x:c r="V203" s="20" t="str"/>
    </x:row>
    <x:row r="204">
      <x:c r="A204" s="20" t="str">
        <x:v>lehman2019_inferring_which_medical</x:v>
      </x:c>
      <x:c r="B204" s="20" t="str">
        <x:v>inproceedings</x:v>
      </x:c>
      <x:c r="C204" s="20" t="str">
        <x:v>Lehman, Eric and DeYoung, Jay and Barzilay, Regina and Wallace, Byron C.</x:v>
      </x:c>
      <x:c r="D204" s="20" t="str">
        <x:v>2019</x:v>
      </x:c>
      <x:c r="E204" s="20" t="str">
        <x:v>Inferring Which Medical Treatments Work from Reports of Clinical Trials</x:v>
      </x:c>
      <x:c r="F204" s="20" t="str">
        <x:v>Proceedings of NAACL 2019</x:v>
      </x:c>
      <x:c r="G204" s="20" t="str">
        <x:v>10.18653/v1/N19-1371</x:v>
      </x:c>
      <x:c r="H204" s="20" t="str">
        <x:v>https://aclanthology.org/N19-1371/</x:v>
      </x:c>
      <x:c r="I204" s="20" t="str"/>
      <x:c r="J204" s="20" t="str"/>
      <x:c r="K204" s="20" t="str">
        <x:v>N19-1371</x:v>
      </x:c>
      <x:c r="L204" s="20" t="str">
        <x:v>12_Clinical_Summarization_Health_Literacy</x:v>
      </x:c>
      <x:c r="M204" s="20" t="str">
        <x:v>12_Clinical_Summarization_Health_Literacy</x:v>
      </x:c>
      <x:c r="N204" s="20" t="str">
        <x:v>NLP;clinical;evidence</x:v>
      </x:c>
      <x:c r="O204" s="20" t="str">
        <x:v>information-extraction</x:v>
      </x:c>
      <x:c r="P204" s="20" t="str">
        <x:v>en</x:v>
      </x:c>
      <x:c r="Q204" s="20" t="str">
        <x:v>relations</x:v>
      </x:c>
      <x:c r="R204" s="20" t="str">
        <x:v>not_applicable</x:v>
      </x:c>
      <x:c r="S204" s="20" t="str">
        <x:v>background</x:v>
      </x:c>
      <x:c r="T204" s="20" t="str">
        <x:v>doi_structurally_verified_from_source</x:v>
      </x:c>
      <x:c r="U204" s="20" t="str">
        <x:v>manual_seed</x:v>
      </x:c>
      <x:c r="V204" s="20" t="str"/>
    </x:row>
    <x:row r="205">
      <x:c r="A205" s="20" t="str">
        <x:v>wallace2012_deploying_interactive_machine</x:v>
      </x:c>
      <x:c r="B205" s="20" t="str">
        <x:v>inproceedings</x:v>
      </x:c>
      <x:c r="C205" s="20" t="str">
        <x:v>Wallace, Byron C. and Small, Kevin and Brodley, Carla E. and Lau, Joseph and Trikalinos, Thomas A.</x:v>
      </x:c>
      <x:c r="D205" s="20" t="str">
        <x:v>2012</x:v>
      </x:c>
      <x:c r="E205" s="20" t="str">
        <x:v>Deploying an Interactive Machine Learning System in an Evidence-based Practice Center</x:v>
      </x:c>
      <x:c r="F205" s="20" t="str">
        <x:v>Proceedings of the 2nd ACM SIGHIT International Health Informatics Symposium</x:v>
      </x:c>
      <x:c r="G205" s="20" t="str">
        <x:v>10.1145/2110363.2110397</x:v>
      </x:c>
      <x:c r="H205" s="20" t="str">
        <x:v>https://doi.org/10.1145/2110363.2110397</x:v>
      </x:c>
      <x:c r="I205" s="20" t="str"/>
      <x:c r="J205" s="20" t="str"/>
      <x:c r="K205" s="20" t="str"/>
      <x:c r="L205" s="20" t="str">
        <x:v>12_Clinical_Summarization_Health_Literacy</x:v>
      </x:c>
      <x:c r="M205" s="20" t="str">
        <x:v>12_Clinical_Summarization_Health_Literacy</x:v>
      </x:c>
      <x:c r="N205" s="20" t="str">
        <x:v>evidence-synthesis;screening;systematic-review</x:v>
      </x:c>
      <x:c r="O205" s="20" t="str">
        <x:v>screening</x:v>
      </x:c>
      <x:c r="P205" s="20" t="str">
        <x:v>en</x:v>
      </x:c>
      <x:c r="Q205" s="20" t="str">
        <x:v>none</x:v>
      </x:c>
      <x:c r="R205" s="20" t="str">
        <x:v>not_applicable</x:v>
      </x:c>
      <x:c r="S205" s="20" t="str">
        <x:v>background</x:v>
      </x:c>
      <x:c r="T205" s="20" t="str">
        <x:v>doi_structurally_verified_from_source</x:v>
      </x:c>
      <x:c r="U205" s="20" t="str">
        <x:v>manual_seed</x:v>
      </x:c>
      <x:c r="V205" s="20" t="str"/>
    </x:row>
    <x:row r="206">
      <x:c r="A206" s="20" t="str">
        <x:v>mishra2014_text_summarization_biomedical</x:v>
      </x:c>
      <x:c r="B206" s="20" t="str">
        <x:v>article</x:v>
      </x:c>
      <x:c r="C206" s="20" t="str">
        <x:v>Mishra, Rahul and Bian, Jiang and Fiszman, Marcelo and Weir, Charlene R. and Jonnalagadda, Siddhartha R. and Mostafa, Javed and Del Fiol, Guilherme</x:v>
      </x:c>
      <x:c r="D206" s="20" t="str">
        <x:v>2014</x:v>
      </x:c>
      <x:c r="E206" s="20" t="str">
        <x:v>Text Summarization in the Biomedical Domain: A Systematic Review of Recent Research</x:v>
      </x:c>
      <x:c r="F206" s="20" t="str">
        <x:v>Journal of Biomedical Informatics</x:v>
      </x:c>
      <x:c r="G206" s="20" t="str">
        <x:v>10.1016/j.jbi.2014.06.009</x:v>
      </x:c>
      <x:c r="H206" s="20" t="str">
        <x:v>https://www.sciencedirect.com/science/article/pii/S1532046414001253</x:v>
      </x:c>
      <x:c r="I206" s="20" t="str"/>
      <x:c r="J206" s="20" t="str"/>
      <x:c r="K206" s="20" t="str"/>
      <x:c r="L206" s="20" t="str">
        <x:v>12_Clinical_Summarization_Health_Literacy</x:v>
      </x:c>
      <x:c r="M206" s="20" t="str">
        <x:v>12_Clinical_Summarization_Health_Literacy</x:v>
      </x:c>
      <x:c r="N206" s="20" t="str">
        <x:v>biomedical;summarization;systematic-review</x:v>
      </x:c>
      <x:c r="O206" s="20" t="str">
        <x:v>survey</x:v>
      </x:c>
      <x:c r="P206" s="20" t="str">
        <x:v>en</x:v>
      </x:c>
      <x:c r="Q206" s="20" t="str">
        <x:v>none</x:v>
      </x:c>
      <x:c r="R206" s="20" t="str">
        <x:v>not_applicable</x:v>
      </x:c>
      <x:c r="S206" s="20" t="str">
        <x:v>background</x:v>
      </x:c>
      <x:c r="T206" s="20" t="str">
        <x:v>doi_structurally_verified_from_source</x:v>
      </x:c>
      <x:c r="U206" s="20" t="str">
        <x:v>manual_seed</x:v>
      </x:c>
      <x:c r="V206" s="20" t="str"/>
    </x:row>
    <x:row r="207">
      <x:c r="A207" s="20" t="str">
        <x:v>afantenos2005_summarization_medical_documents</x:v>
      </x:c>
      <x:c r="B207" s="20" t="str">
        <x:v>article</x:v>
      </x:c>
      <x:c r="C207" s="20" t="str">
        <x:v>Afantenos, Stergos D. and Karkaletsis, Vangelis and Stamatopoulos, Panagiotis</x:v>
      </x:c>
      <x:c r="D207" s="20" t="str">
        <x:v>2005</x:v>
      </x:c>
      <x:c r="E207" s="20" t="str">
        <x:v>Summarization from Medical Documents: A Survey</x:v>
      </x:c>
      <x:c r="F207" s="20" t="str">
        <x:v>Artificial Intelligence in Medicine</x:v>
      </x:c>
      <x:c r="G207" s="20" t="str">
        <x:v>10.1016/j.artmed.2004.07.017</x:v>
      </x:c>
      <x:c r="H207" s="20" t="str">
        <x:v>https://doi.org/10.1016/j.artmed.2004.07.017</x:v>
      </x:c>
      <x:c r="I207" s="20" t="str"/>
      <x:c r="J207" s="20" t="str"/>
      <x:c r="K207" s="20" t="str"/>
      <x:c r="L207" s="20" t="str">
        <x:v>12_Clinical_Summarization_Health_Literacy</x:v>
      </x:c>
      <x:c r="M207" s="20" t="str">
        <x:v>12_Clinical_Summarization_Health_Literacy</x:v>
      </x:c>
      <x:c r="N207" s="20" t="str">
        <x:v>medical;summarization;survey</x:v>
      </x:c>
      <x:c r="O207" s="20" t="str">
        <x:v>survey</x:v>
      </x:c>
      <x:c r="P207" s="20" t="str">
        <x:v>en</x:v>
      </x:c>
      <x:c r="Q207" s="20" t="str">
        <x:v>none</x:v>
      </x:c>
      <x:c r="R207" s="20" t="str">
        <x:v>not_applicable</x:v>
      </x:c>
      <x:c r="S207" s="20" t="str">
        <x:v>background</x:v>
      </x:c>
      <x:c r="T207" s="20" t="str">
        <x:v>doi_structurally_verified_from_source</x:v>
      </x:c>
      <x:c r="U207" s="20" t="str">
        <x:v>manual_seed</x:v>
      </x:c>
      <x:c r="V207" s="20" t="str"/>
    </x:row>
    <x:row r="208">
      <x:c r="A208" s="20" t="str">
        <x:v>demnerfushman2007_answering_clinical_questions</x:v>
      </x:c>
      <x:c r="B208" s="20" t="str">
        <x:v>article</x:v>
      </x:c>
      <x:c r="C208" s="20" t="str">
        <x:v>Demner-Fushman, Dina and Lin, Jimmy</x:v>
      </x:c>
      <x:c r="D208" s="20" t="str">
        <x:v>2007</x:v>
      </x:c>
      <x:c r="E208" s="20" t="str">
        <x:v>Answering Clinical Questions with Knowledge-Based and Statistical Techniques</x:v>
      </x:c>
      <x:c r="F208" s="20" t="str">
        <x:v>Computational Linguistics</x:v>
      </x:c>
      <x:c r="G208" s="20" t="str">
        <x:v>10.1162/coli.2007.33.1.63</x:v>
      </x:c>
      <x:c r="H208" s="20" t="str">
        <x:v>https://aclanthology.org/J07-1003/</x:v>
      </x:c>
      <x:c r="I208" s="20" t="str"/>
      <x:c r="J208" s="20" t="str"/>
      <x:c r="K208" s="20" t="str"/>
      <x:c r="L208" s="20" t="str">
        <x:v>12_Clinical_Summarization_Health_Literacy</x:v>
      </x:c>
      <x:c r="M208" s="20" t="str">
        <x:v>12_Clinical_Summarization_Health_Literacy</x:v>
      </x:c>
      <x:c r="N208" s="20" t="str">
        <x:v>clinical;knowledge;qa</x:v>
      </x:c>
      <x:c r="O208" s="20" t="str">
        <x:v>QA</x:v>
      </x:c>
      <x:c r="P208" s="20" t="str">
        <x:v>en</x:v>
      </x:c>
      <x:c r="Q208" s="20" t="str">
        <x:v>retrieval_grounding</x:v>
      </x:c>
      <x:c r="R208" s="20" t="str">
        <x:v>not_applicable</x:v>
      </x:c>
      <x:c r="S208" s="20" t="str">
        <x:v>background</x:v>
      </x:c>
      <x:c r="T208" s="20" t="str">
        <x:v>doi_structurally_verified_from_source</x:v>
      </x:c>
      <x:c r="U208" s="20" t="str">
        <x:v>manual_seed</x:v>
      </x:c>
      <x:c r="V208" s="20" t="str"/>
    </x:row>
    <x:row r="209">
      <x:c r="A209" s="20" t="str">
        <x:v>nallapati2016_abstractive_text_summarization</x:v>
      </x:c>
      <x:c r="B209" s="20" t="str">
        <x:v>inproceedings</x:v>
      </x:c>
      <x:c r="C209" s="20" t="str">
        <x:v>Nallapati, Ramesh and Zhou, Bowen and dos Santos, Cícero and Gulçehre, Çaglar and Xiang, Bing</x:v>
      </x:c>
      <x:c r="D209" s="20" t="str">
        <x:v>2016</x:v>
      </x:c>
      <x:c r="E209" s="20" t="str">
        <x:v>Abstractive Text Summarization Using Sequence-to-Sequence RNNs and Beyond</x:v>
      </x:c>
      <x:c r="F209" s="20" t="str">
        <x:v>Proceedings of the 20th SIGNLL Conference on Computational Natural Language Learning</x:v>
      </x:c>
      <x:c r="G209" s="20" t="str">
        <x:v>10.18653/v1/K16-1028</x:v>
      </x:c>
      <x:c r="H209" s="20" t="str">
        <x:v>https://aclanthology.org/K16-1028/</x:v>
      </x:c>
      <x:c r="I209" s="20" t="str"/>
      <x:c r="J209" s="20" t="str"/>
      <x:c r="K209" s="20" t="str">
        <x:v>K16-1028</x:v>
      </x:c>
      <x:c r="L209" s="20" t="str">
        <x:v>12_Clinical_Summarization_Health_Literacy</x:v>
      </x:c>
      <x:c r="M209" s="20" t="str">
        <x:v>12_Clinical_Summarization_Health_Literacy</x:v>
      </x:c>
      <x:c r="N209" s="20" t="str">
        <x:v>seq2seq;summarization</x:v>
      </x:c>
      <x:c r="O209" s="20" t="str">
        <x:v>summarization</x:v>
      </x:c>
      <x:c r="P209" s="20" t="str">
        <x:v>en</x:v>
      </x:c>
      <x:c r="Q209" s="20" t="str">
        <x:v>none</x:v>
      </x:c>
      <x:c r="R209" s="20" t="str">
        <x:v>not_applicable</x:v>
      </x:c>
      <x:c r="S209" s="20" t="str">
        <x:v>background</x:v>
      </x:c>
      <x:c r="T209" s="20" t="str">
        <x:v>doi_structurally_verified_from_source</x:v>
      </x:c>
      <x:c r="U209" s="20" t="str">
        <x:v>manual_seed</x:v>
      </x:c>
      <x:c r="V209" s="20" t="str"/>
    </x:row>
    <x:row r="210">
      <x:c r="A210" s="20" t="str">
        <x:v>see2017_get_point_summarization</x:v>
      </x:c>
      <x:c r="B210" s="20" t="str">
        <x:v>inproceedings</x:v>
      </x:c>
      <x:c r="C210" s="20" t="str">
        <x:v>See, Abigail and Liu, Peter J. and Manning, Christopher D.</x:v>
      </x:c>
      <x:c r="D210" s="20" t="str">
        <x:v>2017</x:v>
      </x:c>
      <x:c r="E210" s="20" t="str">
        <x:v>Get To The Point: Summarization with Pointer-Generator Networks</x:v>
      </x:c>
      <x:c r="F210" s="20" t="str">
        <x:v>Proceedings of ACL 2017</x:v>
      </x:c>
      <x:c r="G210" s="20" t="str">
        <x:v>10.18653/v1/P17-1099</x:v>
      </x:c>
      <x:c r="H210" s="20" t="str">
        <x:v>https://aclanthology.org/P17-1099/</x:v>
      </x:c>
      <x:c r="I210" s="20" t="str"/>
      <x:c r="J210" s="20" t="str"/>
      <x:c r="K210" s="20" t="str">
        <x:v>P17-1099</x:v>
      </x:c>
      <x:c r="L210" s="20" t="str">
        <x:v>12_Clinical_Summarization_Health_Literacy</x:v>
      </x:c>
      <x:c r="M210" s="20" t="str">
        <x:v>12_Clinical_Summarization_Health_Literacy</x:v>
      </x:c>
      <x:c r="N210" s="20" t="str">
        <x:v>pointer-generator;summarization</x:v>
      </x:c>
      <x:c r="O210" s="20" t="str">
        <x:v>summarization</x:v>
      </x:c>
      <x:c r="P210" s="20" t="str">
        <x:v>en</x:v>
      </x:c>
      <x:c r="Q210" s="20" t="str">
        <x:v>copy_mechanism</x:v>
      </x:c>
      <x:c r="R210" s="20" t="str">
        <x:v>not_applicable</x:v>
      </x:c>
      <x:c r="S210" s="20" t="str">
        <x:v>background</x:v>
      </x:c>
      <x:c r="T210" s="20" t="str">
        <x:v>doi_structurally_verified_from_source</x:v>
      </x:c>
      <x:c r="U210" s="20" t="str">
        <x:v>manual_seed</x:v>
      </x:c>
      <x:c r="V210" s="20" t="str"/>
    </x:row>
    <x:row r="211">
      <x:c r="A211" s="20" t="str">
        <x:v>narayan2018_don_t_give</x:v>
      </x:c>
      <x:c r="B211" s="20" t="str">
        <x:v>inproceedings</x:v>
      </x:c>
      <x:c r="C211" s="20" t="str">
        <x:v>Narayan, Shashi and Cohen, Shay B. and Lapata, Mirella</x:v>
      </x:c>
      <x:c r="D211" s="20" t="str">
        <x:v>2018</x:v>
      </x:c>
      <x:c r="E211" s="20" t="str">
        <x:v>Don't Give Me the Details, Just the Summary! Topic-Aware Convolutional Neural Networks for Extreme Summarization</x:v>
      </x:c>
      <x:c r="F211" s="20" t="str">
        <x:v>Proceedings of EMNLP 2018</x:v>
      </x:c>
      <x:c r="G211" s="20" t="str">
        <x:v>10.18653/v1/D18-1206</x:v>
      </x:c>
      <x:c r="H211" s="20" t="str">
        <x:v>https://aclanthology.org/D18-1206/</x:v>
      </x:c>
      <x:c r="I211" s="20" t="str"/>
      <x:c r="J211" s="20" t="str"/>
      <x:c r="K211" s="20" t="str">
        <x:v>D18-1206</x:v>
      </x:c>
      <x:c r="L211" s="20" t="str">
        <x:v>12_Clinical_Summarization_Health_Literacy</x:v>
      </x:c>
      <x:c r="M211" s="20" t="str">
        <x:v>12_Clinical_Summarization_Health_Literacy</x:v>
      </x:c>
      <x:c r="N211" s="20" t="str">
        <x:v>XSum;dataset;summarization</x:v>
      </x:c>
      <x:c r="O211" s="20" t="str">
        <x:v>summarization</x:v>
      </x:c>
      <x:c r="P211" s="20" t="str">
        <x:v>en</x:v>
      </x:c>
      <x:c r="Q211" s="20" t="str">
        <x:v>none</x:v>
      </x:c>
      <x:c r="R211" s="20" t="str">
        <x:v>not_applicable</x:v>
      </x:c>
      <x:c r="S211" s="20" t="str">
        <x:v>background</x:v>
      </x:c>
      <x:c r="T211" s="20" t="str">
        <x:v>doi_structurally_verified_from_source</x:v>
      </x:c>
      <x:c r="U211" s="20" t="str">
        <x:v>manual_seed</x:v>
      </x:c>
      <x:c r="V211" s="20" t="str"/>
    </x:row>
    <x:row r="212">
      <x:c r="A212" s="20" t="str">
        <x:v>grusky2018_newsroom_1_3</x:v>
      </x:c>
      <x:c r="B212" s="20" t="str">
        <x:v>inproceedings</x:v>
      </x:c>
      <x:c r="C212" s="20" t="str">
        <x:v>Grusky, Max and Naaman, Mor and Artzi, Yoav</x:v>
      </x:c>
      <x:c r="D212" s="20" t="str">
        <x:v>2018</x:v>
      </x:c>
      <x:c r="E212" s="20" t="str">
        <x:v>Newsroom: A Dataset of 1.3 Million Summaries with Diverse Extractive Strategies</x:v>
      </x:c>
      <x:c r="F212" s="20" t="str">
        <x:v>Proceedings of NAACL 2018</x:v>
      </x:c>
      <x:c r="G212" s="20" t="str">
        <x:v>10.18653/v1/N18-1065</x:v>
      </x:c>
      <x:c r="H212" s="20" t="str">
        <x:v>https://aclanthology.org/N18-1065/</x:v>
      </x:c>
      <x:c r="I212" s="20" t="str"/>
      <x:c r="J212" s="20" t="str"/>
      <x:c r="K212" s="20" t="str">
        <x:v>N18-1065</x:v>
      </x:c>
      <x:c r="L212" s="20" t="str">
        <x:v>12_Clinical_Summarization_Health_Literacy</x:v>
      </x:c>
      <x:c r="M212" s="20" t="str">
        <x:v>12_Clinical_Summarization_Health_Literacy</x:v>
      </x:c>
      <x:c r="N212" s="20" t="str">
        <x:v>dataset;summarization</x:v>
      </x:c>
      <x:c r="O212" s="20" t="str">
        <x:v>summarization</x:v>
      </x:c>
      <x:c r="P212" s="20" t="str">
        <x:v>en</x:v>
      </x:c>
      <x:c r="Q212" s="20" t="str">
        <x:v>none</x:v>
      </x:c>
      <x:c r="R212" s="20" t="str">
        <x:v>not_applicable</x:v>
      </x:c>
      <x:c r="S212" s="20" t="str">
        <x:v>background</x:v>
      </x:c>
      <x:c r="T212" s="20" t="str">
        <x:v>doi_structurally_verified_from_source</x:v>
      </x:c>
      <x:c r="U212" s="20" t="str">
        <x:v>manual_seed</x:v>
      </x:c>
      <x:c r="V212" s="20" t="str"/>
    </x:row>
    <x:row r="213">
      <x:c r="A213" s="20" t="str">
        <x:v>zhang2020_pegasus_pre_training</x:v>
      </x:c>
      <x:c r="B213" s="20" t="str">
        <x:v>inproceedings</x:v>
      </x:c>
      <x:c r="C213" s="20" t="str">
        <x:v>Zhang, Jingqing and Zhao, Yao and Saleh, Mohammad and Liu, Peter J.</x:v>
      </x:c>
      <x:c r="D213" s="20" t="str">
        <x:v>2020</x:v>
      </x:c>
      <x:c r="E213" s="20" t="str">
        <x:v>PEGASUS: Pre-training with Extracted Gap-sentences for Abstractive Summarization</x:v>
      </x:c>
      <x:c r="F213" s="20" t="str">
        <x:v>Proceedings of ICML 2020</x:v>
      </x:c>
      <x:c r="G213" s="20" t="str"/>
      <x:c r="H213" s="20" t="str">
        <x:v>https://proceedings.mlr.press/v119/zhang20ae.html</x:v>
      </x:c>
      <x:c r="I213" s="20" t="str">
        <x:v>1912.08777</x:v>
      </x:c>
      <x:c r="J213" s="20" t="str"/>
      <x:c r="K213" s="20" t="str"/>
      <x:c r="L213" s="20" t="str">
        <x:v>12_Clinical_Summarization_Health_Literacy</x:v>
      </x:c>
      <x:c r="M213" s="20" t="str">
        <x:v>12_Clinical_Summarization_Health_Literacy</x:v>
      </x:c>
      <x:c r="N213" s="20" t="str">
        <x:v>pretraining;summarization</x:v>
      </x:c>
      <x:c r="O213" s="20" t="str">
        <x:v>summarization</x:v>
      </x:c>
      <x:c r="P213" s="20" t="str">
        <x:v>en</x:v>
      </x:c>
      <x:c r="Q213" s="20" t="str">
        <x:v>none</x:v>
      </x:c>
      <x:c r="R213" s="20" t="str">
        <x:v>not_applicable</x:v>
      </x:c>
      <x:c r="S213" s="20" t="str">
        <x:v>background</x:v>
      </x:c>
      <x:c r="T213" s="20" t="str">
        <x:v>arxiv_stable_no_doi</x:v>
      </x:c>
      <x:c r="U213" s="20" t="str">
        <x:v>manual_seed</x:v>
      </x:c>
      <x:c r="V213" s="20" t="str"/>
    </x:row>
    <x:row r="214">
      <x:c r="A214" s="20" t="str">
        <x:v>gidiotis2020_divide_conquer_summarization</x:v>
      </x:c>
      <x:c r="B214" s="20" t="str">
        <x:v>article</x:v>
      </x:c>
      <x:c r="C214" s="20" t="str">
        <x:v>Gidiotis, Alexios and Tsoumakas, Grigorios</x:v>
      </x:c>
      <x:c r="D214" s="20" t="str">
        <x:v>2020</x:v>
      </x:c>
      <x:c r="E214" s="20" t="str">
        <x:v>A Divide-and-Conquer Approach to the Summarization of Long Documents</x:v>
      </x:c>
      <x:c r="F214" s="20" t="str">
        <x:v>IEEE/ACM Transactions on Audio, Speech, and Language Processing</x:v>
      </x:c>
      <x:c r="G214" s="20" t="str">
        <x:v>10.1109/TASLP.2020.2975938</x:v>
      </x:c>
      <x:c r="H214" s="20" t="str">
        <x:v>https://doi.org/10.1109/TASLP.2020.2975938</x:v>
      </x:c>
      <x:c r="I214" s="20" t="str"/>
      <x:c r="J214" s="20" t="str"/>
      <x:c r="K214" s="20" t="str"/>
      <x:c r="L214" s="20" t="str">
        <x:v>12_Clinical_Summarization_Health_Literacy</x:v>
      </x:c>
      <x:c r="M214" s="20" t="str">
        <x:v>12_Clinical_Summarization_Health_Literacy</x:v>
      </x:c>
      <x:c r="N214" s="20" t="str">
        <x:v>long-documents;summarization</x:v>
      </x:c>
      <x:c r="O214" s="20" t="str">
        <x:v>summarization</x:v>
      </x:c>
      <x:c r="P214" s="20" t="str">
        <x:v>en</x:v>
      </x:c>
      <x:c r="Q214" s="20" t="str">
        <x:v>none</x:v>
      </x:c>
      <x:c r="R214" s="20" t="str">
        <x:v>not_applicable</x:v>
      </x:c>
      <x:c r="S214" s="20" t="str">
        <x:v>supporting</x:v>
      </x:c>
      <x:c r="T214" s="20" t="str">
        <x:v>doi_present_needs_crossref_check</x:v>
      </x:c>
      <x:c r="U214" s="20" t="str">
        <x:v>manual_seed</x:v>
      </x:c>
      <x:c r="V214" s="20" t="str"/>
    </x:row>
    <x:row r="215">
      <x:c r="A215" s="20" t="str">
        <x:v>cohan2018_discourse_aware_attention</x:v>
      </x:c>
      <x:c r="B215" s="20" t="str">
        <x:v>inproceedings</x:v>
      </x:c>
      <x:c r="C215" s="20" t="str">
        <x:v>Cohan, Arman and Dernoncourt, Franck and Kim, Doo Soon and Bui, Trung and Kim, Seokhwan and Chang, Walter and Goharian, Nazli</x:v>
      </x:c>
      <x:c r="D215" s="20" t="str">
        <x:v>2018</x:v>
      </x:c>
      <x:c r="E215" s="20" t="str">
        <x:v>A Discourse-Aware Attention Model for Abstractive Summarization of Long Documents</x:v>
      </x:c>
      <x:c r="F215" s="20" t="str">
        <x:v>Proceedings of NAACL 2018</x:v>
      </x:c>
      <x:c r="G215" s="20" t="str">
        <x:v>10.18653/v1/N18-2097</x:v>
      </x:c>
      <x:c r="H215" s="20" t="str">
        <x:v>https://aclanthology.org/N18-2097/</x:v>
      </x:c>
      <x:c r="I215" s="20" t="str"/>
      <x:c r="J215" s="20" t="str"/>
      <x:c r="K215" s="20" t="str">
        <x:v>N18-2097</x:v>
      </x:c>
      <x:c r="L215" s="20" t="str">
        <x:v>12_Clinical_Summarization_Health_Literacy</x:v>
      </x:c>
      <x:c r="M215" s="20" t="str">
        <x:v>12_Clinical_Summarization_Health_Literacy</x:v>
      </x:c>
      <x:c r="N215" s="20" t="str">
        <x:v>long-documents;scientific;summarization</x:v>
      </x:c>
      <x:c r="O215" s="20" t="str">
        <x:v>summarization</x:v>
      </x:c>
      <x:c r="P215" s="20" t="str">
        <x:v>en</x:v>
      </x:c>
      <x:c r="Q215" s="20" t="str">
        <x:v>none</x:v>
      </x:c>
      <x:c r="R215" s="20" t="str">
        <x:v>not_applicable</x:v>
      </x:c>
      <x:c r="S215" s="20" t="str">
        <x:v>supporting</x:v>
      </x:c>
      <x:c r="T215" s="20" t="str">
        <x:v>doi_structurally_verified_from_source</x:v>
      </x:c>
      <x:c r="U215" s="20" t="str">
        <x:v>manual_seed</x:v>
      </x:c>
      <x:c r="V215" s="20" t="str"/>
    </x:row>
    <x:row r="216">
      <x:c r="A216" s="20" t="str">
        <x:v>sotudeh2019_generating_extended_summaries</x:v>
      </x:c>
      <x:c r="B216" s="20" t="str">
        <x:v>inproceedings</x:v>
      </x:c>
      <x:c r="C216" s="20" t="str">
        <x:v>Sotudeh, Sajad and Goharian, Nazli</x:v>
      </x:c>
      <x:c r="D216" s="20" t="str">
        <x:v>2019</x:v>
      </x:c>
      <x:c r="E216" s="20" t="str">
        <x:v>On Generating Extended Summaries of Long Documents</x:v>
      </x:c>
      <x:c r="F216" s="20" t="str">
        <x:v>Proceedings of W-NUT 2019</x:v>
      </x:c>
      <x:c r="G216" s="20" t="str">
        <x:v>10.18653/v1/D19-5520</x:v>
      </x:c>
      <x:c r="H216" s="20" t="str">
        <x:v>https://aclanthology.org/D19-5520/</x:v>
      </x:c>
      <x:c r="I216" s="20" t="str"/>
      <x:c r="J216" s="20" t="str"/>
      <x:c r="K216" s="20" t="str">
        <x:v>D19-5520</x:v>
      </x:c>
      <x:c r="L216" s="20" t="str">
        <x:v>12_Clinical_Summarization_Health_Literacy</x:v>
      </x:c>
      <x:c r="M216" s="20" t="str">
        <x:v>12_Clinical_Summarization_Health_Literacy</x:v>
      </x:c>
      <x:c r="N216" s="20" t="str">
        <x:v>long-documents;summarization</x:v>
      </x:c>
      <x:c r="O216" s="20" t="str">
        <x:v>summarization</x:v>
      </x:c>
      <x:c r="P216" s="20" t="str">
        <x:v>en</x:v>
      </x:c>
      <x:c r="Q216" s="20" t="str">
        <x:v>none</x:v>
      </x:c>
      <x:c r="R216" s="20" t="str">
        <x:v>not_applicable</x:v>
      </x:c>
      <x:c r="S216" s="20" t="str">
        <x:v>supporting</x:v>
      </x:c>
      <x:c r="T216" s="20" t="str">
        <x:v>doi_structurally_verified_from_source</x:v>
      </x:c>
      <x:c r="U216" s="20" t="str">
        <x:v>manual_seed</x:v>
      </x:c>
      <x:c r="V216" s="20" t="str"/>
    </x:row>
  </x:sheetData>
  <x:pageMargins left="0.7" right="0.7" top="0.75" bottom="0.75" header="0.3" footer="0.3"/>
  <x:tableParts count="1">
    <x:tablePart xmlns:r="http://schemas.openxmlformats.org/officeDocument/2006/relationships" r:id="R6ba1f54a5e9e450a"/>
  </x:tableParts>
</x:worksheet>
</file>

<file path=xl/worksheets/sheet3.xml><?xml version="1.0" encoding="utf-8"?>
<x:worksheet xmlns:x="http://schemas.openxmlformats.org/spreadsheetml/2006/main">
  <x:sheetFormatPr defaultRowHeight="15"/>
  <x:cols>
    <x:col min="1" max="1" width="22" hidden="0" customWidth="1"/>
    <x:col min="2" max="2" width="36" hidden="0" customWidth="1"/>
    <x:col min="3" max="3" width="22" hidden="0" customWidth="1"/>
    <x:col min="4" max="4" width="32" hidden="0" customWidth="1"/>
    <x:col min="5" max="5" width="16" hidden="0" customWidth="1"/>
    <x:col min="6" max="6" width="16" hidden="0" customWidth="1"/>
    <x:col min="7" max="7" width="16" hidden="0" customWidth="1"/>
  </x:cols>
  <x:sheetData>
    <x:row r="1">
      <x:c r="A1" s="24" t="str">
        <x:v>citekey</x:v>
      </x:c>
      <x:c r="B1" s="24" t="str">
        <x:v>title</x:v>
      </x:c>
      <x:c r="C1" s="24" t="str">
        <x:v>doi</x:v>
      </x:c>
      <x:c r="D1" s="24" t="str">
        <x:v>url</x:v>
      </x:c>
      <x:c r="E1" s="24" t="str">
        <x:v>identifier_type</x:v>
      </x:c>
      <x:c r="F1" s="24" t="str">
        <x:v>verification_status</x:v>
      </x:c>
      <x:c r="G1" s="24" t="str">
        <x:v>action</x:v>
      </x:c>
    </x:row>
    <x:row r="2">
      <x:c r="A2" s="20" t="str">
        <x:v>basu2023_med_easi_finely</x:v>
      </x:c>
      <x:c r="B2" s="20" t="str">
        <x:v>Med-EASi: Finely Annotated Dataset and Models for Controllable Simplification of Medical Texts</x:v>
      </x:c>
      <x:c r="C2" s="20" t="str">
        <x:v>10.1609/aaai.v37i12.26649</x:v>
      </x:c>
      <x:c r="D2" s="20" t="str">
        <x:v>https://ojs.aaai.org/index.php/AAAI/article/view/26649</x:v>
      </x:c>
      <x:c r="E2" s="20" t="str">
        <x:v>DOI</x:v>
      </x:c>
      <x:c r="F2" s="20" t="str">
        <x:v>doi_structurally_verified_from_source</x:v>
      </x:c>
      <x:c r="G2" s="20" t="str">
        <x:v>Run Crossref/Zotero DOI resolver; if mismatch, move to 00_To_Verify.</x:v>
      </x:c>
    </x:row>
    <x:row r="3">
      <x:c r="A3" s="20" t="str">
        <x:v>horiguchi2025_multimsd_multilingual_medical</x:v>
      </x:c>
      <x:c r="B3" s="20" t="str">
        <x:v>MultiMSD: A Corpus for Multilingual Medical Text Simplification from Online Medical References</x:v>
      </x:c>
      <x:c r="C3" s="20" t="str">
        <x:v>10.18653/v1/2025.findings-acl.481</x:v>
      </x:c>
      <x:c r="D3" s="20" t="str">
        <x:v>https://aclanthology.org/2025.findings-acl.481/</x:v>
      </x:c>
      <x:c r="E3" s="20" t="str">
        <x:v>DOI</x:v>
      </x:c>
      <x:c r="F3" s="20" t="str">
        <x:v>doi_structurally_verified_from_source</x:v>
      </x:c>
      <x:c r="G3" s="20" t="str">
        <x:v>Run Crossref/Zotero DOI resolver; if mismatch, move to 00_To_Verify.</x:v>
      </x:c>
    </x:row>
    <x:row r="4">
      <x:c r="A4" s="20" t="str">
        <x:v>joseph2023_multilingual_simplification_medical</x:v>
      </x:c>
      <x:c r="B4" s="20" t="str">
        <x:v>Multilingual Simplification of Medical Texts</x:v>
      </x:c>
      <x:c r="C4" s="20" t="str">
        <x:v>10.18653/v1/2023.emnlp-main.1037</x:v>
      </x:c>
      <x:c r="D4" s="20" t="str">
        <x:v>https://aclanthology.org/2023.emnlp-main.1037/</x:v>
      </x:c>
      <x:c r="E4" s="20" t="str">
        <x:v>DOI</x:v>
      </x:c>
      <x:c r="F4" s="20" t="str">
        <x:v>doi_structurally_verified_from_source</x:v>
      </x:c>
      <x:c r="G4" s="20" t="str">
        <x:v>Run Crossref/Zotero DOI resolver; if mismatch, move to 00_To_Verify.</x:v>
      </x:c>
    </x:row>
    <x:row r="5">
      <x:c r="A5" s="20" t="str">
        <x:v>bakker2024_cochrane_auto_aligned</x:v>
      </x:c>
      <x:c r="B5" s="20" t="str">
        <x:v>Cochrane-auto: An Aligned Dataset for the Simplification of Biomedical Abstracts</x:v>
      </x:c>
      <x:c r="C5" s="20" t="str">
        <x:v>10.18653/v1/2024.tsar-1.5</x:v>
      </x:c>
      <x:c r="D5" s="20" t="str">
        <x:v>https://aclanthology.org/2024.tsar-1.5/</x:v>
      </x:c>
      <x:c r="E5" s="20" t="str">
        <x:v>DOI</x:v>
      </x:c>
      <x:c r="F5" s="20" t="str">
        <x:v>doi_structurally_verified_from_source</x:v>
      </x:c>
      <x:c r="G5" s="20" t="str">
        <x:v>Run Crossref/Zotero DOI resolver; if mismatch, move to 00_To_Verify.</x:v>
      </x:c>
    </x:row>
    <x:row r="6">
      <x:c r="A6" s="20" t="str">
        <x:v>yao2024_readme_bridging_medical</x:v>
      </x:c>
      <x:c r="B6" s="20" t="str">
        <x:v>README: Bridging Medical Jargon and Lay Understanding for Patient Education through Data-Centric NLP</x:v>
      </x:c>
      <x:c r="C6" s="20" t="str">
        <x:v>10.18653/v1/2024.findings-emnlp.737</x:v>
      </x:c>
      <x:c r="D6" s="20" t="str">
        <x:v>https://aclanthology.org/2024.findings-emnlp.737/</x:v>
      </x:c>
      <x:c r="E6" s="20" t="str">
        <x:v>DOI</x:v>
      </x:c>
      <x:c r="F6" s="20" t="str">
        <x:v>doi_structurally_verified_from_source</x:v>
      </x:c>
      <x:c r="G6" s="20" t="str">
        <x:v>Run Crossref/Zotero DOI resolver; if mismatch, move to 00_To_Verify.</x:v>
      </x:c>
    </x:row>
    <x:row r="7">
      <x:c r="A7" s="20" t="str">
        <x:v>devaraj2021_paragraph_level_simplification</x:v>
      </x:c>
      <x:c r="B7" s="20" t="str">
        <x:v>Paragraph-level Simplification of Medical Texts</x:v>
      </x:c>
      <x:c r="C7" s="20" t="str">
        <x:v>10.18653/v1/2021.naacl-main.395</x:v>
      </x:c>
      <x:c r="D7" s="20" t="str">
        <x:v>https://aclanthology.org/2021.naacl-main.395/</x:v>
      </x:c>
      <x:c r="E7" s="20" t="str">
        <x:v>DOI</x:v>
      </x:c>
      <x:c r="F7" s="20" t="str">
        <x:v>doi_structurally_verified_from_source</x:v>
      </x:c>
      <x:c r="G7" s="20" t="str">
        <x:v>Run Crossref/Zotero DOI resolver; if mismatch, move to 00_To_Verify.</x:v>
      </x:c>
    </x:row>
    <x:row r="8">
      <x:c r="A8" s="20" t="str">
        <x:v>devaraj2022_evaluating_factuality_text</x:v>
      </x:c>
      <x:c r="B8" s="20" t="str">
        <x:v>Evaluating Factuality in Text Simplification</x:v>
      </x:c>
      <x:c r="C8" s="20" t="str">
        <x:v>10.18653/v1/2022.acl-long.506</x:v>
      </x:c>
      <x:c r="D8" s="20" t="str">
        <x:v>https://aclanthology.org/2022.acl-long.506/</x:v>
      </x:c>
      <x:c r="E8" s="20" t="str">
        <x:v>DOI</x:v>
      </x:c>
      <x:c r="F8" s="20" t="str">
        <x:v>doi_structurally_verified_from_source</x:v>
      </x:c>
      <x:c r="G8" s="20" t="str">
        <x:v>Run Crossref/Zotero DOI resolver; if mismatch, move to 00_To_Verify.</x:v>
      </x:c>
    </x:row>
    <x:row r="9">
      <x:c r="A9" s="20" t="str">
        <x:v>flores2023_medical_text_simplification</x:v>
      </x:c>
      <x:c r="B9" s="20" t="str">
        <x:v>Medical Text Simplification: Optimizing for Readability with Unlikelihood Training and Reranked Beam Search Decoding</x:v>
      </x:c>
      <x:c r="C9" s="20" t="str">
        <x:v>10.18653/v1/2023.findings-emnlp.322</x:v>
      </x:c>
      <x:c r="D9" s="20" t="str">
        <x:v>https://aclanthology.org/2023.findings-emnlp.322/</x:v>
      </x:c>
      <x:c r="E9" s="20" t="str">
        <x:v>DOI</x:v>
      </x:c>
      <x:c r="F9" s="20" t="str">
        <x:v>doi_structurally_verified_from_source</x:v>
      </x:c>
      <x:c r="G9" s="20" t="str">
        <x:v>Run Crossref/Zotero DOI resolver; if mismatch, move to 00_To_Verify.</x:v>
      </x:c>
    </x:row>
    <x:row r="10">
      <x:c r="A10" s="20" t="str">
        <x:v>phatak2022_medical_text_simplification</x:v>
      </x:c>
      <x:c r="B10" s="20" t="str">
        <x:v>Medical Text Simplification Using Reinforcement Learning (TESLEA): Deep Learning-Based Text Simplification Approach</x:v>
      </x:c>
      <x:c r="C10" s="20" t="str">
        <x:v>10.2196/38095</x:v>
      </x:c>
      <x:c r="D10" s="20" t="str">
        <x:v>https://medinform.jmir.org/2022/11/e38095/</x:v>
      </x:c>
      <x:c r="E10" s="20" t="str">
        <x:v>DOI</x:v>
      </x:c>
      <x:c r="F10" s="20" t="str">
        <x:v>doi_present_needs_crossref_check</x:v>
      </x:c>
      <x:c r="G10" s="20" t="str">
        <x:v>Run Crossref/Zotero DOI resolver; if mismatch, move to 00_To_Verify.</x:v>
      </x:c>
    </x:row>
    <x:row r="11">
      <x:c r="A11" s="20" t="str">
        <x:v>moramarco2022_more_patient_friendly</x:v>
      </x:c>
      <x:c r="B11" s="20" t="str">
        <x:v>Towards More Patient Friendly Clinical Notes through Language Models and Ontologies</x:v>
      </x:c>
      <x:c r="C11" s="20" t="str"/>
      <x:c r="D11" s="20" t="str">
        <x:v>https://pmc.ncbi.nlm.nih.gov/articles/PMC8861686/</x:v>
      </x:c>
      <x:c r="E11" s="20" t="str">
        <x:v>PMID</x:v>
      </x:c>
      <x:c r="F11" s="20" t="str">
        <x:v>pmid_stable_no_doi</x:v>
      </x:c>
      <x:c r="G11" s="20" t="str">
        <x:v>Open PubMed record; export PMID/NBIB into Zotero.</x:v>
      </x:c>
    </x:row>
    <x:row r="12">
      <x:c r="A12" s="20" t="str">
        <x:v>trienes2022_patient_friendly_clinical</x:v>
      </x:c>
      <x:c r="B12" s="20" t="str">
        <x:v>Patient-Friendly Clinical Notes: Towards a New Text Simplification Dataset</x:v>
      </x:c>
      <x:c r="C12" s="20" t="str">
        <x:v>10.18653/v1/2022.tsar-1.3</x:v>
      </x:c>
      <x:c r="D12" s="20" t="str">
        <x:v>https://aclanthology.org/2022.tsar-1.3/</x:v>
      </x:c>
      <x:c r="E12" s="20" t="str">
        <x:v>DOI</x:v>
      </x:c>
      <x:c r="F12" s="20" t="str">
        <x:v>doi_structurally_verified_from_source</x:v>
      </x:c>
      <x:c r="G12" s="20" t="str">
        <x:v>Run Crossref/Zotero DOI resolver; if mismatch, move to 00_To_Verify.</x:v>
      </x:c>
    </x:row>
    <x:row r="13">
      <x:c r="A13" s="20" t="str">
        <x:v>rahman2024_health_text_simplification</x:v>
      </x:c>
      <x:c r="B13" s="20" t="str">
        <x:v>Health Text Simplification: An Annotated Corpus for Digestive Cancer Education and Novel Strategies for Reinforcement Learning</x:v>
      </x:c>
      <x:c r="C13" s="20" t="str">
        <x:v>10.1016/j.jbi.2024.104727</x:v>
      </x:c>
      <x:c r="D13" s="20" t="str">
        <x:v>https://dl.acm.org/doi/10.1016/j.jbi.2024.104727</x:v>
      </x:c>
      <x:c r="E13" s="20" t="str">
        <x:v>DOI</x:v>
      </x:c>
      <x:c r="F13" s="20" t="str">
        <x:v>doi_structurally_verified_from_source</x:v>
      </x:c>
      <x:c r="G13" s="20" t="str">
        <x:v>Run Crossref/Zotero DOI resolver; if mismatch, move to 00_To_Verify.</x:v>
      </x:c>
    </x:row>
    <x:row r="14">
      <x:c r="A14" s="20" t="str">
        <x:v>pavithra2025_bridging_health_literacy</x:v>
      </x:c>
      <x:c r="B14" s="20" t="str">
        <x:v>Bridging Health Literacy Gaps in Indian Languages: Multilingual LLMs for Clinical Text Simplification</x:v>
      </x:c>
      <x:c r="C14" s="20" t="str">
        <x:v>10.18653/v1/2025.sciprodllm-1.1</x:v>
      </x:c>
      <x:c r="D14" s="20" t="str">
        <x:v>https://aclanthology.org/2025.sciprodllm-1.1/</x:v>
      </x:c>
      <x:c r="E14" s="20" t="str">
        <x:v>DOI</x:v>
      </x:c>
      <x:c r="F14" s="20" t="str">
        <x:v>doi_structurally_verified_from_source</x:v>
      </x:c>
      <x:c r="G14" s="20" t="str">
        <x:v>Run Crossref/Zotero DOI resolver; if mismatch, move to 00_To_Verify.</x:v>
      </x:c>
    </x:row>
    <x:row r="15">
      <x:c r="A15" s="20" t="str">
        <x:v>tran2025_medreadctrl_personalizing_medical</x:v>
      </x:c>
      <x:c r="B15" s="20" t="str">
        <x:v>MedReadCtrl: Personalizing Medical Text Generation with Readability-Controlled Instruction Learning</x:v>
      </x:c>
      <x:c r="C15" s="20" t="str"/>
      <x:c r="D15" s="20" t="str">
        <x:v>https://arxiv.org/abs/2507.07419</x:v>
      </x:c>
      <x:c r="E15" s="20" t="str">
        <x:v>arXiv</x:v>
      </x:c>
      <x:c r="F15" s="20" t="str">
        <x:v>arxiv_stable_no_doi</x:v>
      </x:c>
      <x:c r="G15" s="20" t="str">
        <x:v>Open arXiv page; export BibTeX from arXiv or Zotero connector.</x:v>
      </x:c>
    </x:row>
    <x:row r="16">
      <x:c r="A16" s="20" t="str">
        <x:v>qenam2017_text_simplification_consumer</x:v>
      </x:c>
      <x:c r="B16" s="20" t="str">
        <x:v>Text Simplification Using Consumer Health Vocabulary to Generate Patient-Centered Radiology Reporting: Translation and Evaluation</x:v>
      </x:c>
      <x:c r="C16" s="20" t="str">
        <x:v>10.2196/jmir.8531</x:v>
      </x:c>
      <x:c r="D16" s="20" t="str">
        <x:v>https://www.jmir.org/2017/12/e417/</x:v>
      </x:c>
      <x:c r="E16" s="20" t="str">
        <x:v>DOI</x:v>
      </x:c>
      <x:c r="F16" s="20" t="str">
        <x:v>doi_present_needs_crossref_check</x:v>
      </x:c>
      <x:c r="G16" s="20" t="str">
        <x:v>Run Crossref/Zotero DOI resolver; if mismatch, move to 00_To_Verify.</x:v>
      </x:c>
    </x:row>
    <x:row r="17">
      <x:c r="A17" s="20" t="str">
        <x:v>makhmutova2024_medical_text_simplification</x:v>
      </x:c>
      <x:c r="B17" s="20" t="str">
        <x:v>Automated Medical Text Simplification for Enhanced Patient Understanding</x:v>
      </x:c>
      <x:c r="C17" s="20" t="str"/>
      <x:c r="D17" s="20" t="str">
        <x:v>https://arxiv.org/abs/2402.16038</x:v>
      </x:c>
      <x:c r="E17" s="20" t="str">
        <x:v>arXiv</x:v>
      </x:c>
      <x:c r="F17" s="20" t="str">
        <x:v>arxiv_stable_no_doi</x:v>
      </x:c>
      <x:c r="G17" s="20" t="str">
        <x:v>Open arXiv page; export BibTeX from arXiv or Zotero connector.</x:v>
      </x:c>
    </x:row>
    <x:row r="18">
      <x:c r="A18" s="20" t="str">
        <x:v>vora2025_s_3_pipeline</x:v>
      </x:c>
      <x:c r="B18" s="20" t="str">
        <x:v>S-3 Pipeline for Biomedical Text Simplification</x:v>
      </x:c>
      <x:c r="C18" s="20" t="str"/>
      <x:c r="D18" s="20" t="str">
        <x:v>https://ceur-ws.org/Vol-4038/paper_361.pdf</x:v>
      </x:c>
      <x:c r="E18" s="20" t="str">
        <x:v>URL</x:v>
      </x:c>
      <x:c r="F18" s="20" t="str">
        <x:v>url_stable_no_doi</x:v>
      </x:c>
      <x:c r="G18" s="20" t="str">
        <x:v>Open publisher/repository URL; verify metadata manually.</x:v>
      </x:c>
    </x:row>
    <x:row r="19">
      <x:c r="A19" s="20" t="str">
        <x:v>bakker2025_overview_clef_2025</x:v>
      </x:c>
      <x:c r="B19" s="20" t="str">
        <x:v>Overview of the CLEF 2025 SimpleText Task 1: Scientific and Biomedical Text Simplification</x:v>
      </x:c>
      <x:c r="C19" s="20" t="str"/>
      <x:c r="D19" s="20" t="str">
        <x:v>https://ceur-ws.org/Vol-4038/paper_344.pdf</x:v>
      </x:c>
      <x:c r="E19" s="20" t="str">
        <x:v>URL</x:v>
      </x:c>
      <x:c r="F19" s="20" t="str">
        <x:v>url_stable_no_doi</x:v>
      </x:c>
      <x:c r="G19" s="20" t="str">
        <x:v>Open publisher/repository URL; verify metadata manually.</x:v>
      </x:c>
    </x:row>
    <x:row r="20">
      <x:c r="A20" s="20" t="str">
        <x:v>grabar2018_clear_medical_french</x:v>
      </x:c>
      <x:c r="B20" s="20" t="str">
        <x:v>CLEAR: A Corpus for Medical French Text Simplification</x:v>
      </x:c>
      <x:c r="C20" s="20" t="str"/>
      <x:c r="D20" s="20" t="str">
        <x:v>https://aclanthology.org/W18-7001/</x:v>
      </x:c>
      <x:c r="E20" s="20" t="str">
        <x:v>ACL Anthology ID</x:v>
      </x:c>
      <x:c r="F20" s="20" t="str">
        <x:v>acl_id_stable_no_doi_field</x:v>
      </x:c>
      <x:c r="G20" s="20" t="str">
        <x:v>Open ACL page; use BibTeX from ACL Anthology if available.</x:v>
      </x:c>
    </x:row>
    <x:row r="21">
      <x:c r="A21" s="20" t="str">
        <x:v>cardon2020_french_biomedical_text</x:v>
      </x:c>
      <x:c r="B21" s="20" t="str">
        <x:v>French Biomedical Text Simplification: When Small and Precise Helps</x:v>
      </x:c>
      <x:c r="C21" s="20" t="str"/>
      <x:c r="D21" s="20" t="str">
        <x:v>https://jbiomedsem.biomedcentral.com/</x:v>
      </x:c>
      <x:c r="E21" s="20" t="str">
        <x:v>URL</x:v>
      </x:c>
      <x:c r="F21" s="20" t="str">
        <x:v>url_stable_no_doi</x:v>
      </x:c>
      <x:c r="G21" s="20" t="str">
        <x:v>Open publisher/repository URL; verify metadata manually.</x:v>
      </x:c>
    </x:row>
    <x:row r="22">
      <x:c r="A22" s="20" t="str">
        <x:v>aziz2025_banglahealth_bengali_paraphrase</x:v>
      </x:c>
      <x:c r="B22" s="20" t="str">
        <x:v>BanglaHealth: A Bengali Paraphrase Dataset on Health Domain</x:v>
      </x:c>
      <x:c r="C22" s="20" t="str">
        <x:v>10.1016/j.dib.2025.111699</x:v>
      </x:c>
      <x:c r="D22" s="20" t="str">
        <x:v>https://www.sciencedirect.com/science/article/pii/S2352340925004299</x:v>
      </x:c>
      <x:c r="E22" s="20" t="str">
        <x:v>DOI</x:v>
      </x:c>
      <x:c r="F22" s="20" t="str">
        <x:v>doi_structurally_verified_from_source</x:v>
      </x:c>
      <x:c r="G22" s="20" t="str">
        <x:v>Run Crossref/Zotero DOI resolver; if mismatch, move to 00_To_Verify.</x:v>
      </x:c>
    </x:row>
    <x:row r="23">
      <x:c r="A23" s="20" t="str">
        <x:v>khan2023_banglachq_summ_abstractive</x:v>
      </x:c>
      <x:c r="B23" s="20" t="str">
        <x:v>BanglaCHQ-Summ: An Abstractive Summarization Dataset for Medical Queries in Bangla Conversational Speech</x:v>
      </x:c>
      <x:c r="C23" s="20" t="str">
        <x:v>10.18653/v1/2023.banglalp-1.10</x:v>
      </x:c>
      <x:c r="D23" s="20" t="str">
        <x:v>https://aclanthology.org/2023.banglalp-1.10/</x:v>
      </x:c>
      <x:c r="E23" s="20" t="str">
        <x:v>DOI</x:v>
      </x:c>
      <x:c r="F23" s="20" t="str">
        <x:v>doi_structurally_verified_from_source</x:v>
      </x:c>
      <x:c r="G23" s="20" t="str">
        <x:v>Run Crossref/Zotero DOI resolver; if mismatch, move to 00_To_Verify.</x:v>
      </x:c>
    </x:row>
    <x:row r="24">
      <x:c r="A24" s="20" t="str">
        <x:v>khan2023_nervous_about_my</x:v>
      </x:c>
      <x:c r="B24" s="20" t="str">
        <x:v>NERvous About My Health: Constructing a Bengali Medical Named Entity Recognition Dataset</x:v>
      </x:c>
      <x:c r="C24" s="20" t="str">
        <x:v>10.18653/v1/2023.findings-emnlp.383</x:v>
      </x:c>
      <x:c r="D24" s="20" t="str">
        <x:v>https://aclanthology.org/2023.findings-emnlp.383/</x:v>
      </x:c>
      <x:c r="E24" s="20" t="str">
        <x:v>DOI</x:v>
      </x:c>
      <x:c r="F24" s="20" t="str">
        <x:v>doi_structurally_verified_from_source</x:v>
      </x:c>
      <x:c r="G24" s="20" t="str">
        <x:v>Run Crossref/Zotero DOI resolver; if mismatch, move to 00_To_Verify.</x:v>
      </x:c>
    </x:row>
    <x:row r="25">
      <x:c r="A25" s="20" t="str">
        <x:v>islam2026_bangla_meder_multi</x:v>
      </x:c>
      <x:c r="B25" s="20" t="str">
        <x:v>Bangla-MedER: Multi-BERT Ensemble Approach for the Recognition of Bangla Medical Entities</x:v>
      </x:c>
      <x:c r="C25" s="20" t="str">
        <x:v>10.1371/journal.pone.0342558</x:v>
      </x:c>
      <x:c r="D25" s="20" t="str">
        <x:v>https://journals.plos.org/plosone/article?id=10.1371/journal.pone.0342558</x:v>
      </x:c>
      <x:c r="E25" s="20" t="str">
        <x:v>DOI</x:v>
      </x:c>
      <x:c r="F25" s="20" t="str">
        <x:v>doi_present_needs_crossref_check</x:v>
      </x:c>
      <x:c r="G25" s="20" t="str">
        <x:v>Run Crossref/Zotero DOI resolver; if mismatch, move to 00_To_Verify.</x:v>
      </x:c>
    </x:row>
    <x:row r="26">
      <x:c r="A26" s="20" t="str">
        <x:v>bhattacharjee2022_banglabert_language_pretraining</x:v>
      </x:c>
      <x:c r="B26" s="20" t="str">
        <x:v>BanglaBERT: Language Model Pretraining and Benchmarks for Low-Resource Language Understanding Evaluation in Bangla</x:v>
      </x:c>
      <x:c r="C26" s="20" t="str">
        <x:v>10.18653/v1/2022.findings-naacl.98</x:v>
      </x:c>
      <x:c r="D26" s="20" t="str">
        <x:v>https://aclanthology.org/2022.findings-naacl.98/</x:v>
      </x:c>
      <x:c r="E26" s="20" t="str">
        <x:v>DOI</x:v>
      </x:c>
      <x:c r="F26" s="20" t="str">
        <x:v>doi_structurally_verified_from_source</x:v>
      </x:c>
      <x:c r="G26" s="20" t="str">
        <x:v>Run Crossref/Zotero DOI resolver; if mismatch, move to 00_To_Verify.</x:v>
      </x:c>
    </x:row>
    <x:row r="27">
      <x:c r="A27" s="20" t="str">
        <x:v>das2024_banglat5_banglabert0_pretrained</x:v>
      </x:c>
      <x:c r="B27" s="20" t="str">
        <x:v>BanglaT5 and BanglaBERT0: Large Pretrained Language Models for Bangla</x:v>
      </x:c>
      <x:c r="C27" s="20" t="str"/>
      <x:c r="D27" s="20" t="str">
        <x:v>https://aclanthology.org/2024.lrec-main/</x:v>
      </x:c>
      <x:c r="E27" s="20" t="str">
        <x:v>URL</x:v>
      </x:c>
      <x:c r="F27" s="20" t="str">
        <x:v>url_stable_no_doi</x:v>
      </x:c>
      <x:c r="G27" s="20" t="str">
        <x:v>Open publisher/repository URL; verify metadata manually.</x:v>
      </x:c>
    </x:row>
    <x:row r="28">
      <x:c r="A28" s="20" t="str">
        <x:v>mahtab2025_benchmark_context_driven</x:v>
      </x:c>
      <x:c r="B28" s="20" t="str">
        <x:v>A Benchmark Dataset and Context-Driven Approach for Bangla Named Entity Recognition</x:v>
      </x:c>
      <x:c r="C28" s="20" t="str">
        <x:v>10.18653/v1/2025.findings-naacl.380</x:v>
      </x:c>
      <x:c r="D28" s="20" t="str">
        <x:v>https://aclanthology.org/2025.findings-naacl.380/</x:v>
      </x:c>
      <x:c r="E28" s="20" t="str">
        <x:v>DOI</x:v>
      </x:c>
      <x:c r="F28" s="20" t="str">
        <x:v>doi_structurally_verified_from_source</x:v>
      </x:c>
      <x:c r="G28" s="20" t="str">
        <x:v>Run Crossref/Zotero DOI resolver; if mismatch, move to 00_To_Verify.</x:v>
      </x:c>
    </x:row>
    <x:row r="29">
      <x:c r="A29" s="20" t="str">
        <x:v>ekbal2008_bengali_named_entity</x:v>
      </x:c>
      <x:c r="B29" s="20" t="str">
        <x:v>Bengali Named Entity Recognition Using Support Vector Machine</x:v>
      </x:c>
      <x:c r="C29" s="20" t="str"/>
      <x:c r="D29" s="20" t="str">
        <x:v>https://aclanthology.org/I08-5008/</x:v>
      </x:c>
      <x:c r="E29" s="20" t="str">
        <x:v>ACL Anthology ID</x:v>
      </x:c>
      <x:c r="F29" s="20" t="str">
        <x:v>acl_id_stable_no_doi_field</x:v>
      </x:c>
      <x:c r="G29" s="20" t="str">
        <x:v>Open ACL page; use BibTeX from ACL Anthology if available.</x:v>
      </x:c>
    </x:row>
    <x:row r="30">
      <x:c r="A30" s="20" t="str">
        <x:v>hossain2017_bengali_question_answering</x:v>
      </x:c>
      <x:c r="B30" s="20" t="str">
        <x:v>A Dataset for Bengali Question Answering in the Health Domain</x:v>
      </x:c>
      <x:c r="C30" s="20" t="str"/>
      <x:c r="D30" s="20" t="str">
        <x:v>https://data.mendeley.com/datasets/4tt953xwk2</x:v>
      </x:c>
      <x:c r="E30" s="20" t="str">
        <x:v>URL</x:v>
      </x:c>
      <x:c r="F30" s="20" t="str">
        <x:v>url_stable_no_doi</x:v>
      </x:c>
      <x:c r="G30" s="20" t="str">
        <x:v>Open publisher/repository URL; verify metadata manually.</x:v>
      </x:c>
    </x:row>
    <x:row r="31">
      <x:c r="A31" s="20" t="str">
        <x:v>laskar2023_benllmeval_comprehensive_evaluation</x:v>
      </x:c>
      <x:c r="B31" s="20" t="str">
        <x:v>BenLLMEval: A Comprehensive Evaluation into the Potentials and Pitfalls of Large Language Models on Bengali NLP</x:v>
      </x:c>
      <x:c r="C31" s="20" t="str"/>
      <x:c r="D31" s="20" t="str">
        <x:v>https://arxiv.org/abs/2309.13173</x:v>
      </x:c>
      <x:c r="E31" s="20" t="str">
        <x:v>arXiv</x:v>
      </x:c>
      <x:c r="F31" s="20" t="str">
        <x:v>arxiv_stable_no_doi</x:v>
      </x:c>
      <x:c r="G31" s="20" t="str">
        <x:v>Open arXiv page; export BibTeX from arXiv or Zotero connector.</x:v>
      </x:c>
    </x:row>
    <x:row r="32">
      <x:c r="A32" s="20" t="str">
        <x:v>kakwani2020_indicnlpsuite_monolingual_corpora</x:v>
      </x:c>
      <x:c r="B32" s="20" t="str">
        <x:v>IndicNLPSuite: Monolingual Corpora, Evaluation Benchmarks and Pre-trained Multilingual Language Models for Indian Languages</x:v>
      </x:c>
      <x:c r="C32" s="20" t="str">
        <x:v>10.18653/v1/2020.findings-emnlp.445</x:v>
      </x:c>
      <x:c r="D32" s="20" t="str">
        <x:v>https://aclanthology.org/2020.findings-emnlp.445/</x:v>
      </x:c>
      <x:c r="E32" s="20" t="str">
        <x:v>DOI</x:v>
      </x:c>
      <x:c r="F32" s="20" t="str">
        <x:v>doi_structurally_verified_from_source</x:v>
      </x:c>
      <x:c r="G32" s="20" t="str">
        <x:v>Run Crossref/Zotero DOI resolver; if mismatch, move to 00_To_Verify.</x:v>
      </x:c>
    </x:row>
    <x:row r="33">
      <x:c r="A33" s="20" t="str">
        <x:v>ramesh2022_samanantar_largest_publicly</x:v>
      </x:c>
      <x:c r="B33" s="20" t="str">
        <x:v>Samanantar: The Largest Publicly Available Parallel Corpora Collection for 11 Indic Languages</x:v>
      </x:c>
      <x:c r="C33" s="20" t="str">
        <x:v>10.1162/tacl_a_00452</x:v>
      </x:c>
      <x:c r="D33" s="20" t="str">
        <x:v>https://aclanthology.org/2022.tacl-1.9/</x:v>
      </x:c>
      <x:c r="E33" s="20" t="str">
        <x:v>DOI</x:v>
      </x:c>
      <x:c r="F33" s="20" t="str">
        <x:v>doi_structurally_verified_from_source</x:v>
      </x:c>
      <x:c r="G33" s="20" t="str">
        <x:v>Run Crossref/Zotero DOI resolver; if mismatch, move to 00_To_Verify.</x:v>
      </x:c>
    </x:row>
    <x:row r="34">
      <x:c r="A34" s="20" t="str">
        <x:v>doddapaneni2023_indictrans2_high_quality</x:v>
      </x:c>
      <x:c r="B34" s="20" t="str">
        <x:v>IndicTrans2: Towards High-Quality and Accessible Machine Translation Models for all 22 Scheduled Indian Languages</x:v>
      </x:c>
      <x:c r="C34" s="20" t="str"/>
      <x:c r="D34" s="20" t="str">
        <x:v>https://arxiv.org/abs/2305.16307</x:v>
      </x:c>
      <x:c r="E34" s="20" t="str">
        <x:v>arXiv</x:v>
      </x:c>
      <x:c r="F34" s="20" t="str">
        <x:v>arxiv_stable_no_doi</x:v>
      </x:c>
      <x:c r="G34" s="20" t="str">
        <x:v>Open arXiv page; export BibTeX from arXiv or Zotero connector.</x:v>
      </x:c>
    </x:row>
    <x:row r="35">
      <x:c r="A35" s="20" t="str">
        <x:v>costajuss2022_no_language_left</x:v>
      </x:c>
      <x:c r="B35" s="20" t="str">
        <x:v>No Language Left Behind: Scaling Human-Centered Machine Translation</x:v>
      </x:c>
      <x:c r="C35" s="20" t="str"/>
      <x:c r="D35" s="20" t="str">
        <x:v>https://arxiv.org/abs/2207.04672</x:v>
      </x:c>
      <x:c r="E35" s="20" t="str">
        <x:v>arXiv</x:v>
      </x:c>
      <x:c r="F35" s="20" t="str">
        <x:v>arxiv_stable_no_doi</x:v>
      </x:c>
      <x:c r="G35" s="20" t="str">
        <x:v>Open arXiv page; export BibTeX from arXiv or Zotero connector.</x:v>
      </x:c>
    </x:row>
    <x:row r="36">
      <x:c r="A36" s="20" t="str">
        <x:v>dabre2020_multilingual_neural_machine</x:v>
      </x:c>
      <x:c r="B36" s="20" t="str">
        <x:v>A Survey of Multilingual Neural Machine Translation</x:v>
      </x:c>
      <x:c r="C36" s="20" t="str">
        <x:v>10.1145/3406095</x:v>
      </x:c>
      <x:c r="D36" s="20" t="str">
        <x:v>https://doi.org/10.1145/3406095</x:v>
      </x:c>
      <x:c r="E36" s="20" t="str">
        <x:v>DOI</x:v>
      </x:c>
      <x:c r="F36" s="20" t="str">
        <x:v>doi_structurally_verified_from_source</x:v>
      </x:c>
      <x:c r="G36" s="20" t="str">
        <x:v>Run Crossref/Zotero DOI resolver; if mismatch, move to 00_To_Verify.</x:v>
      </x:c>
    </x:row>
    <x:row r="37">
      <x:c r="A37" s="20" t="str">
        <x:v>hasan2020_not_low_resource</x:v>
      </x:c>
      <x:c r="B37" s="20" t="str">
        <x:v>Not Low-Resource Anymore: Aligner Ensembling, Batch Filtering, and New Datasets for Bengali-English Machine Translation</x:v>
      </x:c>
      <x:c r="C37" s="20" t="str">
        <x:v>10.18653/v1/2020.emnlp-main.207</x:v>
      </x:c>
      <x:c r="D37" s="20" t="str">
        <x:v>https://aclanthology.org/2020.emnlp-main.207/</x:v>
      </x:c>
      <x:c r="E37" s="20" t="str">
        <x:v>DOI</x:v>
      </x:c>
      <x:c r="F37" s="20" t="str">
        <x:v>doi_structurally_verified_from_source</x:v>
      </x:c>
      <x:c r="G37" s="20" t="str">
        <x:v>Run Crossref/Zotero DOI resolver; if mismatch, move to 00_To_Verify.</x:v>
      </x:c>
    </x:row>
    <x:row r="38">
      <x:c r="A38" s="20" t="str">
        <x:v>akter2025_banglat5_mhealth_bengali</x:v>
      </x:c>
      <x:c r="B38" s="20" t="str">
        <x:v>BanglaT5-mHealth: A Bengali Health-Domain Paraphrasing Model</x:v>
      </x:c>
      <x:c r="C38" s="20" t="str"/>
      <x:c r="D38" s="20" t="str">
        <x:v>https://huggingface.co/faisal4590aziz/bangla-t5-mHealth</x:v>
      </x:c>
      <x:c r="E38" s="20" t="str">
        <x:v>URL</x:v>
      </x:c>
      <x:c r="F38" s="20" t="str">
        <x:v>url_stable_no_doi</x:v>
      </x:c>
      <x:c r="G38" s="20" t="str">
        <x:v>Open publisher/repository URL; verify metadata manually.</x:v>
      </x:c>
    </x:row>
    <x:row r="39">
      <x:c r="A39" s="20" t="str">
        <x:v>maynez2020_faithfulness_factuality_abstractive</x:v>
      </x:c>
      <x:c r="B39" s="20" t="str">
        <x:v>On Faithfulness and Factuality in Abstractive Summarization</x:v>
      </x:c>
      <x:c r="C39" s="20" t="str">
        <x:v>10.18653/v1/2020.acl-main.173</x:v>
      </x:c>
      <x:c r="D39" s="20" t="str">
        <x:v>https://aclanthology.org/2020.acl-main.173/</x:v>
      </x:c>
      <x:c r="E39" s="20" t="str">
        <x:v>DOI</x:v>
      </x:c>
      <x:c r="F39" s="20" t="str">
        <x:v>doi_structurally_verified_from_source</x:v>
      </x:c>
      <x:c r="G39" s="20" t="str">
        <x:v>Run Crossref/Zotero DOI resolver; if mismatch, move to 00_To_Verify.</x:v>
      </x:c>
    </x:row>
    <x:row r="40">
      <x:c r="A40" s="20" t="str">
        <x:v>pagnoni2021_understanding_factuality_abstractive</x:v>
      </x:c>
      <x:c r="B40" s="20" t="str">
        <x:v>Understanding Factuality in Abstractive Summarization with FRANK: A Benchmark for Factuality Metrics</x:v>
      </x:c>
      <x:c r="C40" s="20" t="str">
        <x:v>10.1162/tacl_a_00368</x:v>
      </x:c>
      <x:c r="D40" s="20" t="str">
        <x:v>https://aclanthology.org/2021.tacl-1.28/</x:v>
      </x:c>
      <x:c r="E40" s="20" t="str">
        <x:v>DOI</x:v>
      </x:c>
      <x:c r="F40" s="20" t="str">
        <x:v>doi_structurally_verified_from_source</x:v>
      </x:c>
      <x:c r="G40" s="20" t="str">
        <x:v>Run Crossref/Zotero DOI resolver; if mismatch, move to 00_To_Verify.</x:v>
      </x:c>
    </x:row>
    <x:row r="41">
      <x:c r="A41" s="20" t="str">
        <x:v>gabriel2021_go_figure_meta</x:v>
      </x:c>
      <x:c r="B41" s="20" t="str">
        <x:v>GO FIGURE: A Meta Evaluation of Factuality in Summarization</x:v>
      </x:c>
      <x:c r="C41" s="20" t="str">
        <x:v>10.18653/v1/2021.findings-acl.58</x:v>
      </x:c>
      <x:c r="D41" s="20" t="str">
        <x:v>https://aclanthology.org/2021.findings-acl.58/</x:v>
      </x:c>
      <x:c r="E41" s="20" t="str">
        <x:v>DOI</x:v>
      </x:c>
      <x:c r="F41" s="20" t="str">
        <x:v>doi_structurally_verified_from_source</x:v>
      </x:c>
      <x:c r="G41" s="20" t="str">
        <x:v>Run Crossref/Zotero DOI resolver; if mismatch, move to 00_To_Verify.</x:v>
      </x:c>
    </x:row>
    <x:row r="42">
      <x:c r="A42" s="20" t="str">
        <x:v>falke2019_ranking_generated_summaries</x:v>
      </x:c>
      <x:c r="B42" s="20" t="str">
        <x:v>Ranking Generated Summaries by Correctness: An Interesting but Challenging Application for Natural Language Inference</x:v>
      </x:c>
      <x:c r="C42" s="20" t="str">
        <x:v>10.18653/v1/P19-1213</x:v>
      </x:c>
      <x:c r="D42" s="20" t="str">
        <x:v>https://aclanthology.org/P19-1213/</x:v>
      </x:c>
      <x:c r="E42" s="20" t="str">
        <x:v>DOI</x:v>
      </x:c>
      <x:c r="F42" s="20" t="str">
        <x:v>doi_structurally_verified_from_source</x:v>
      </x:c>
      <x:c r="G42" s="20" t="str">
        <x:v>Run Crossref/Zotero DOI resolver; if mismatch, move to 00_To_Verify.</x:v>
      </x:c>
    </x:row>
    <x:row r="43">
      <x:c r="A43" s="20" t="str">
        <x:v>kryscinski2020_evaluating_factual_consistency</x:v>
      </x:c>
      <x:c r="B43" s="20" t="str">
        <x:v>Evaluating the Factual Consistency of Abstractive Text Summarization</x:v>
      </x:c>
      <x:c r="C43" s="20" t="str">
        <x:v>10.18653/v1/2020.emnlp-main.750</x:v>
      </x:c>
      <x:c r="D43" s="20" t="str">
        <x:v>https://aclanthology.org/2020.emnlp-main.750/</x:v>
      </x:c>
      <x:c r="E43" s="20" t="str">
        <x:v>DOI</x:v>
      </x:c>
      <x:c r="F43" s="20" t="str">
        <x:v>doi_structurally_verified_from_source</x:v>
      </x:c>
      <x:c r="G43" s="20" t="str">
        <x:v>Run Crossref/Zotero DOI resolver; if mismatch, move to 00_To_Verify.</x:v>
      </x:c>
    </x:row>
    <x:row r="44">
      <x:c r="A44" s="20" t="str">
        <x:v>goyal2021_annotating_modeling_fine</x:v>
      </x:c>
      <x:c r="B44" s="20" t="str">
        <x:v>Annotating and Modeling Fine-grained Factuality in Summarization</x:v>
      </x:c>
      <x:c r="C44" s="20" t="str">
        <x:v>10.18653/v1/2021.naacl-main.114</x:v>
      </x:c>
      <x:c r="D44" s="20" t="str">
        <x:v>https://aclanthology.org/2021.naacl-main.114/</x:v>
      </x:c>
      <x:c r="E44" s="20" t="str">
        <x:v>DOI</x:v>
      </x:c>
      <x:c r="F44" s="20" t="str">
        <x:v>doi_structurally_verified_from_source</x:v>
      </x:c>
      <x:c r="G44" s="20" t="str">
        <x:v>Run Crossref/Zotero DOI resolver; if mismatch, move to 00_To_Verify.</x:v>
      </x:c>
    </x:row>
    <x:row r="45">
      <x:c r="A45" s="20" t="str">
        <x:v>fabbri2021_summeval_re_evaluating</x:v>
      </x:c>
      <x:c r="B45" s="20" t="str">
        <x:v>SummEval: Re-evaluating Summarization Evaluation</x:v>
      </x:c>
      <x:c r="C45" s="20" t="str">
        <x:v>10.1162/tacl_a_00373</x:v>
      </x:c>
      <x:c r="D45" s="20" t="str">
        <x:v>https://aclanthology.org/2021.tacl-1.24/</x:v>
      </x:c>
      <x:c r="E45" s="20" t="str">
        <x:v>DOI</x:v>
      </x:c>
      <x:c r="F45" s="20" t="str">
        <x:v>doi_structurally_verified_from_source</x:v>
      </x:c>
      <x:c r="G45" s="20" t="str">
        <x:v>Run Crossref/Zotero DOI resolver; if mismatch, move to 00_To_Verify.</x:v>
      </x:c>
    </x:row>
    <x:row r="46">
      <x:c r="A46" s="20" t="str">
        <x:v>durmus2020_feqa_question_answering</x:v>
      </x:c>
      <x:c r="B46" s="20" t="str">
        <x:v>FEQA: A Question Answering Evaluation Framework for Faithfulness Assessment in Abstractive Summarization</x:v>
      </x:c>
      <x:c r="C46" s="20" t="str">
        <x:v>10.18653/v1/2020.acl-main.454</x:v>
      </x:c>
      <x:c r="D46" s="20" t="str">
        <x:v>https://aclanthology.org/2020.acl-main.454/</x:v>
      </x:c>
      <x:c r="E46" s="20" t="str">
        <x:v>DOI</x:v>
      </x:c>
      <x:c r="F46" s="20" t="str">
        <x:v>doi_structurally_verified_from_source</x:v>
      </x:c>
      <x:c r="G46" s="20" t="str">
        <x:v>Run Crossref/Zotero DOI resolver; if mismatch, move to 00_To_Verify.</x:v>
      </x:c>
    </x:row>
    <x:row r="47">
      <x:c r="A47" s="20" t="str">
        <x:v>wang2020_asking_answering_questions</x:v>
      </x:c>
      <x:c r="B47" s="20" t="str">
        <x:v>Asking and Answering Questions to Evaluate the Factual Consistency of Summaries</x:v>
      </x:c>
      <x:c r="C47" s="20" t="str">
        <x:v>10.18653/v1/2020.acl-main.450</x:v>
      </x:c>
      <x:c r="D47" s="20" t="str">
        <x:v>https://aclanthology.org/2020.acl-main.450/</x:v>
      </x:c>
      <x:c r="E47" s="20" t="str">
        <x:v>DOI</x:v>
      </x:c>
      <x:c r="F47" s="20" t="str">
        <x:v>doi_structurally_verified_from_source</x:v>
      </x:c>
      <x:c r="G47" s="20" t="str">
        <x:v>Run Crossref/Zotero DOI resolver; if mismatch, move to 00_To_Verify.</x:v>
      </x:c>
    </x:row>
    <x:row r="48">
      <x:c r="A48" s="20" t="str">
        <x:v>scialom2021_questeval_summarization_asks</x:v>
      </x:c>
      <x:c r="B48" s="20" t="str">
        <x:v>QuestEval: Summarization Asks for Fact-based Evaluation</x:v>
      </x:c>
      <x:c r="C48" s="20" t="str">
        <x:v>10.18653/v1/2021.emnlp-main.529</x:v>
      </x:c>
      <x:c r="D48" s="20" t="str">
        <x:v>https://aclanthology.org/2021.emnlp-main.529/</x:v>
      </x:c>
      <x:c r="E48" s="20" t="str">
        <x:v>DOI</x:v>
      </x:c>
      <x:c r="F48" s="20" t="str">
        <x:v>doi_structurally_verified_from_source</x:v>
      </x:c>
      <x:c r="G48" s="20" t="str">
        <x:v>Run Crossref/Zotero DOI resolver; if mismatch, move to 00_To_Verify.</x:v>
      </x:c>
    </x:row>
    <x:row r="49">
      <x:c r="A49" s="20" t="str">
        <x:v>laban2022_summac_re_visiting</x:v>
      </x:c>
      <x:c r="B49" s="20" t="str">
        <x:v>SummaC: Re-Visiting NLI-based Models for Inconsistency Detection in Summarization</x:v>
      </x:c>
      <x:c r="C49" s="20" t="str">
        <x:v>10.1162/tacl_a_00453</x:v>
      </x:c>
      <x:c r="D49" s="20" t="str">
        <x:v>https://aclanthology.org/2022.tacl-1.10/</x:v>
      </x:c>
      <x:c r="E49" s="20" t="str">
        <x:v>DOI</x:v>
      </x:c>
      <x:c r="F49" s="20" t="str">
        <x:v>doi_structurally_verified_from_source</x:v>
      </x:c>
      <x:c r="G49" s="20" t="str">
        <x:v>Run Crossref/Zotero DOI resolver; if mismatch, move to 00_To_Verify.</x:v>
      </x:c>
    </x:row>
    <x:row r="50">
      <x:c r="A50" s="20" t="str">
        <x:v>min2023_factscore_fine_grained</x:v>
      </x:c>
      <x:c r="B50" s="20" t="str">
        <x:v>FActScore: Fine-grained Atomic Evaluation of Factual Precision in Long Form Text Generation</x:v>
      </x:c>
      <x:c r="C50" s="20" t="str">
        <x:v>10.18653/v1/2023.emnlp-main.741</x:v>
      </x:c>
      <x:c r="D50" s="20" t="str">
        <x:v>https://aclanthology.org/2023.emnlp-main.741/</x:v>
      </x:c>
      <x:c r="E50" s="20" t="str">
        <x:v>DOI</x:v>
      </x:c>
      <x:c r="F50" s="20" t="str">
        <x:v>doi_structurally_verified_from_source</x:v>
      </x:c>
      <x:c r="G50" s="20" t="str">
        <x:v>Run Crossref/Zotero DOI resolver; if mismatch, move to 00_To_Verify.</x:v>
      </x:c>
    </x:row>
    <x:row r="51">
      <x:c r="A51" s="20" t="str">
        <x:v>zha2023_alignscore_evaluating_factual</x:v>
      </x:c>
      <x:c r="B51" s="20" t="str">
        <x:v>AlignScore: Evaluating Factual Consistency with A Unified Alignment Function</x:v>
      </x:c>
      <x:c r="C51" s="20" t="str">
        <x:v>10.18653/v1/2023.acl-long.634</x:v>
      </x:c>
      <x:c r="D51" s="20" t="str">
        <x:v>https://aclanthology.org/2023.acl-long.634/</x:v>
      </x:c>
      <x:c r="E51" s="20" t="str">
        <x:v>DOI</x:v>
      </x:c>
      <x:c r="F51" s="20" t="str">
        <x:v>doi_structurally_verified_from_source</x:v>
      </x:c>
      <x:c r="G51" s="20" t="str">
        <x:v>Run Crossref/Zotero DOI resolver; if mismatch, move to 00_To_Verify.</x:v>
      </x:c>
    </x:row>
    <x:row r="52">
      <x:c r="A52" s="20" t="str">
        <x:v>koto2020_ffci_framework_interpretable</x:v>
      </x:c>
      <x:c r="B52" s="20" t="str">
        <x:v>FFCI: A Framework for Interpretable Automatic Evaluation of Summarization</x:v>
      </x:c>
      <x:c r="C52" s="20" t="str"/>
      <x:c r="D52" s="20" t="str">
        <x:v>https://aclanthology.org/2020.coling-main.251/</x:v>
      </x:c>
      <x:c r="E52" s="20" t="str">
        <x:v>ACL Anthology ID</x:v>
      </x:c>
      <x:c r="F52" s="20" t="str">
        <x:v>acl_id_stable_no_doi_field</x:v>
      </x:c>
      <x:c r="G52" s="20" t="str">
        <x:v>Open ACL page; use BibTeX from ACL Anthology if available.</x:v>
      </x:c>
    </x:row>
    <x:row r="53">
      <x:c r="A53" s="20" t="str">
        <x:v>cao2018_faithful_original_fact</x:v>
      </x:c>
      <x:c r="B53" s="20" t="str">
        <x:v>Faithful to the Original: Fact Aware Neural Abstractive Summarization</x:v>
      </x:c>
      <x:c r="C53" s="20" t="str">
        <x:v>10.1609/aaai.v32i1.11960</x:v>
      </x:c>
      <x:c r="D53" s="20" t="str">
        <x:v>https://ojs.aaai.org/index.php/AAAI/article/view/11960</x:v>
      </x:c>
      <x:c r="E53" s="20" t="str">
        <x:v>DOI</x:v>
      </x:c>
      <x:c r="F53" s="20" t="str">
        <x:v>doi_structurally_verified_from_source</x:v>
      </x:c>
      <x:c r="G53" s="20" t="str">
        <x:v>Run Crossref/Zotero DOI resolver; if mismatch, move to 00_To_Verify.</x:v>
      </x:c>
    </x:row>
    <x:row r="54">
      <x:c r="A54" s="20" t="str">
        <x:v>goodrich2019_assessing_factual_accuracy</x:v>
      </x:c>
      <x:c r="B54" s="20" t="str">
        <x:v>Assessing the Factual Accuracy of Generated Text</x:v>
      </x:c>
      <x:c r="C54" s="20" t="str">
        <x:v>10.1145/3292500.3330955</x:v>
      </x:c>
      <x:c r="D54" s="20" t="str">
        <x:v>https://doi.org/10.1145/3292500.3330955</x:v>
      </x:c>
      <x:c r="E54" s="20" t="str">
        <x:v>DOI</x:v>
      </x:c>
      <x:c r="F54" s="20" t="str">
        <x:v>doi_structurally_verified_from_source</x:v>
      </x:c>
      <x:c r="G54" s="20" t="str">
        <x:v>Run Crossref/Zotero DOI resolver; if mismatch, move to 00_To_Verify.</x:v>
      </x:c>
    </x:row>
    <x:row r="55">
      <x:c r="A55" s="20" t="str">
        <x:v>dziri2022_evaluating_attribution_dialogue</x:v>
      </x:c>
      <x:c r="B55" s="20" t="str">
        <x:v>Evaluating Attribution in Dialogue Systems: The BEGIN Benchmark</x:v>
      </x:c>
      <x:c r="C55" s="20" t="str">
        <x:v>10.1162/tacl_a_00506</x:v>
      </x:c>
      <x:c r="D55" s="20" t="str">
        <x:v>https://aclanthology.org/2022.tacl-1.62/</x:v>
      </x:c>
      <x:c r="E55" s="20" t="str">
        <x:v>DOI</x:v>
      </x:c>
      <x:c r="F55" s="20" t="str">
        <x:v>doi_structurally_verified_from_source</x:v>
      </x:c>
      <x:c r="G55" s="20" t="str">
        <x:v>Run Crossref/Zotero DOI resolver; if mismatch, move to 00_To_Verify.</x:v>
      </x:c>
    </x:row>
    <x:row r="56">
      <x:c r="A56" s="20" t="str">
        <x:v>rashkin2023_measuring_attribution_natural</x:v>
      </x:c>
      <x:c r="B56" s="20" t="str">
        <x:v>Measuring Attribution in Natural Language Generation Models</x:v>
      </x:c>
      <x:c r="C56" s="20" t="str">
        <x:v>10.1162/coli_a_00486</x:v>
      </x:c>
      <x:c r="D56" s="20" t="str">
        <x:v>https://doi.org/10.1162/coli_a_00486</x:v>
      </x:c>
      <x:c r="E56" s="20" t="str">
        <x:v>DOI</x:v>
      </x:c>
      <x:c r="F56" s="20" t="str">
        <x:v>doi_structurally_verified_from_source</x:v>
      </x:c>
      <x:c r="G56" s="20" t="str">
        <x:v>Run Crossref/Zotero DOI resolver; if mismatch, move to 00_To_Verify.</x:v>
      </x:c>
    </x:row>
    <x:row r="57">
      <x:c r="A57" s="20" t="str">
        <x:v>li2023_hallucination_natural_language</x:v>
      </x:c>
      <x:c r="B57" s="20" t="str">
        <x:v>Survey of Hallucination in Natural Language Generation</x:v>
      </x:c>
      <x:c r="C57" s="20" t="str"/>
      <x:c r="D57" s="20" t="str">
        <x:v>https://arxiv.org/abs/2202.03629</x:v>
      </x:c>
      <x:c r="E57" s="20" t="str">
        <x:v>arXiv</x:v>
      </x:c>
      <x:c r="F57" s="20" t="str">
        <x:v>arxiv_stable_no_doi</x:v>
      </x:c>
      <x:c r="G57" s="20" t="str">
        <x:v>Open arXiv page; export BibTeX from arXiv or Zotero connector.</x:v>
      </x:c>
    </x:row>
    <x:row r="58">
      <x:c r="A58" s="20" t="str">
        <x:v>ji2023_hallucination_natural_language</x:v>
      </x:c>
      <x:c r="B58" s="20" t="str">
        <x:v>Survey of Hallucination in Natural Language Generation</x:v>
      </x:c>
      <x:c r="C58" s="20" t="str">
        <x:v>10.1145/3571730</x:v>
      </x:c>
      <x:c r="D58" s="20" t="str">
        <x:v>https://doi.org/10.1145/3571730</x:v>
      </x:c>
      <x:c r="E58" s="20" t="str">
        <x:v>DOI</x:v>
      </x:c>
      <x:c r="F58" s="20" t="str">
        <x:v>doi_structurally_verified_from_source</x:v>
      </x:c>
      <x:c r="G58" s="20" t="str">
        <x:v>Run Crossref/Zotero DOI resolver; if mismatch, move to 00_To_Verify.</x:v>
      </x:c>
    </x:row>
    <x:row r="59">
      <x:c r="A59" s="20" t="str">
        <x:v>manakul2023_selfcheckgpt_zero_resource</x:v>
      </x:c>
      <x:c r="B59" s="20" t="str">
        <x:v>SelfCheckGPT: Zero-Resource Black-Box Hallucination Detection for Generative Large Language Models</x:v>
      </x:c>
      <x:c r="C59" s="20" t="str">
        <x:v>10.18653/v1/2023.emnlp-main.557</x:v>
      </x:c>
      <x:c r="D59" s="20" t="str">
        <x:v>https://aclanthology.org/2023.emnlp-main.557/</x:v>
      </x:c>
      <x:c r="E59" s="20" t="str">
        <x:v>DOI</x:v>
      </x:c>
      <x:c r="F59" s="20" t="str">
        <x:v>doi_structurally_verified_from_source</x:v>
      </x:c>
      <x:c r="G59" s="20" t="str">
        <x:v>Run Crossref/Zotero DOI resolver; if mismatch, move to 00_To_Verify.</x:v>
      </x:c>
    </x:row>
    <x:row r="60">
      <x:c r="A60" s="20" t="str">
        <x:v>li2023_halueval_hallucination_evaluation</x:v>
      </x:c>
      <x:c r="B60" s="20" t="str">
        <x:v>HaluEval: A Large-Scale Hallucination Evaluation Benchmark for Large Language Models</x:v>
      </x:c>
      <x:c r="C60" s="20" t="str">
        <x:v>10.18653/v1/2023.emnlp-main.397</x:v>
      </x:c>
      <x:c r="D60" s="20" t="str">
        <x:v>https://aclanthology.org/2023.emnlp-main.397/</x:v>
      </x:c>
      <x:c r="E60" s="20" t="str">
        <x:v>DOI</x:v>
      </x:c>
      <x:c r="F60" s="20" t="str">
        <x:v>doi_structurally_verified_from_source</x:v>
      </x:c>
      <x:c r="G60" s="20" t="str">
        <x:v>Run Crossref/Zotero DOI resolver; if mismatch, move to 00_To_Verify.</x:v>
      </x:c>
    </x:row>
    <x:row r="61">
      <x:c r="A61" s="20" t="str">
        <x:v>chen2024_hallucination_detection_robustly</x:v>
      </x:c>
      <x:c r="B61" s="20" t="str">
        <x:v>Hallucination Detection: Robustly Discerning Reliable Answers in Large Language Models</x:v>
      </x:c>
      <x:c r="C61" s="20" t="str">
        <x:v>10.1145/3627673.3679910</x:v>
      </x:c>
      <x:c r="D61" s="20" t="str">
        <x:v>https://doi.org/10.1145/3627673.3679910</x:v>
      </x:c>
      <x:c r="E61" s="20" t="str">
        <x:v>DOI</x:v>
      </x:c>
      <x:c r="F61" s="20" t="str">
        <x:v>doi_structurally_verified_from_source</x:v>
      </x:c>
      <x:c r="G61" s="20" t="str">
        <x:v>Run Crossref/Zotero DOI resolver; if mismatch, move to 00_To_Verify.</x:v>
      </x:c>
    </x:row>
    <x:row r="62">
      <x:c r="A62" s="20" t="str">
        <x:v>tam2023_checking_facts_fact</x:v>
      </x:c>
      <x:c r="B62" s="20" t="str">
        <x:v>Checking the Facts: A Survey of Fact-Checking with Large Language Models</x:v>
      </x:c>
      <x:c r="C62" s="20" t="str"/>
      <x:c r="D62" s="20" t="str">
        <x:v>https://arxiv.org/abs/2310.02140</x:v>
      </x:c>
      <x:c r="E62" s="20" t="str">
        <x:v>arXiv</x:v>
      </x:c>
      <x:c r="F62" s="20" t="str">
        <x:v>arxiv_stable_no_doi</x:v>
      </x:c>
      <x:c r="G62" s="20" t="str">
        <x:v>Open arXiv page; export BibTeX from arXiv or Zotero connector.</x:v>
      </x:c>
    </x:row>
    <x:row r="63">
      <x:c r="A63" s="20" t="str">
        <x:v>huang2025_hallucination_language_principles</x:v>
      </x:c>
      <x:c r="B63" s="20" t="str">
        <x:v>A Survey on Hallucination in Large Language Models: Principles, Taxonomy, Challenges, and Open Questions</x:v>
      </x:c>
      <x:c r="C63" s="20" t="str">
        <x:v>10.1145/3703155</x:v>
      </x:c>
      <x:c r="D63" s="20" t="str">
        <x:v>https://doi.org/10.1145/3703155</x:v>
      </x:c>
      <x:c r="E63" s="20" t="str">
        <x:v>DOI</x:v>
      </x:c>
      <x:c r="F63" s="20" t="str">
        <x:v>doi_structurally_verified_from_source</x:v>
      </x:c>
      <x:c r="G63" s="20" t="str">
        <x:v>Run Crossref/Zotero DOI resolver; if mismatch, move to 00_To_Verify.</x:v>
      </x:c>
    </x:row>
    <x:row r="64">
      <x:c r="A64" s="20" t="str">
        <x:v>liu2024_lost_middle_how</x:v>
      </x:c>
      <x:c r="B64" s="20" t="str">
        <x:v>Lost in the Middle: How Language Models Use Long Contexts</x:v>
      </x:c>
      <x:c r="C64" s="20" t="str">
        <x:v>10.1162/tacl_a_00638</x:v>
      </x:c>
      <x:c r="D64" s="20" t="str">
        <x:v>https://aclanthology.org/2024.tacl-1.9/</x:v>
      </x:c>
      <x:c r="E64" s="20" t="str">
        <x:v>DOI</x:v>
      </x:c>
      <x:c r="F64" s="20" t="str">
        <x:v>doi_structurally_verified_from_source</x:v>
      </x:c>
      <x:c r="G64" s="20" t="str">
        <x:v>Run Crossref/Zotero DOI resolver; if mismatch, move to 00_To_Verify.</x:v>
      </x:c>
    </x:row>
    <x:row r="65">
      <x:c r="A65" s="20" t="str">
        <x:v>romanov2018_lessons_natural_language</x:v>
      </x:c>
      <x:c r="B65" s="20" t="str">
        <x:v>Lessons from Natural Language Inference in the Clinical Domain</x:v>
      </x:c>
      <x:c r="C65" s="20" t="str">
        <x:v>10.18653/v1/D18-1187</x:v>
      </x:c>
      <x:c r="D65" s="20" t="str">
        <x:v>https://aclanthology.org/D18-1187/</x:v>
      </x:c>
      <x:c r="E65" s="20" t="str">
        <x:v>DOI</x:v>
      </x:c>
      <x:c r="F65" s="20" t="str">
        <x:v>doi_structurally_verified_from_source</x:v>
      </x:c>
      <x:c r="G65" s="20" t="str">
        <x:v>Run Crossref/Zotero DOI resolver; if mismatch, move to 00_To_Verify.</x:v>
      </x:c>
    </x:row>
    <x:row r="66">
      <x:c r="A66" s="20" t="str">
        <x:v>conneau2018_xnli_evaluating_cross</x:v>
      </x:c>
      <x:c r="B66" s="20" t="str">
        <x:v>XNLI: Evaluating Cross-lingual Sentence Representations</x:v>
      </x:c>
      <x:c r="C66" s="20" t="str">
        <x:v>10.18653/v1/D18-1269</x:v>
      </x:c>
      <x:c r="D66" s="20" t="str">
        <x:v>https://aclanthology.org/D18-1269/</x:v>
      </x:c>
      <x:c r="E66" s="20" t="str">
        <x:v>DOI</x:v>
      </x:c>
      <x:c r="F66" s="20" t="str">
        <x:v>doi_structurally_verified_from_source</x:v>
      </x:c>
      <x:c r="G66" s="20" t="str">
        <x:v>Run Crossref/Zotero DOI resolver; if mismatch, move to 00_To_Verify.</x:v>
      </x:c>
    </x:row>
    <x:row r="67">
      <x:c r="A67" s="20" t="str">
        <x:v>aggarwal2022_indicxnli_evaluating_multilingual</x:v>
      </x:c>
      <x:c r="B67" s="20" t="str">
        <x:v>IndicXNLI: Evaluating Multilingual Inference for Indian Languages</x:v>
      </x:c>
      <x:c r="C67" s="20" t="str">
        <x:v>10.18653/v1/2022.emnlp-main.755</x:v>
      </x:c>
      <x:c r="D67" s="20" t="str">
        <x:v>https://aclanthology.org/2022.emnlp-main.755/</x:v>
      </x:c>
      <x:c r="E67" s="20" t="str">
        <x:v>DOI</x:v>
      </x:c>
      <x:c r="F67" s="20" t="str">
        <x:v>doi_structurally_verified_from_source</x:v>
      </x:c>
      <x:c r="G67" s="20" t="str">
        <x:v>Run Crossref/Zotero DOI resolver; if mismatch, move to 00_To_Verify.</x:v>
      </x:c>
    </x:row>
    <x:row r="68">
      <x:c r="A68" s="20" t="str">
        <x:v>bowman2015_annotated_learning_natural</x:v>
      </x:c>
      <x:c r="B68" s="20" t="str">
        <x:v>A Large Annotated Corpus for Learning Natural Language Inference</x:v>
      </x:c>
      <x:c r="C68" s="20" t="str">
        <x:v>10.18653/v1/D15-1075</x:v>
      </x:c>
      <x:c r="D68" s="20" t="str">
        <x:v>https://aclanthology.org/D15-1075/</x:v>
      </x:c>
      <x:c r="E68" s="20" t="str">
        <x:v>DOI</x:v>
      </x:c>
      <x:c r="F68" s="20" t="str">
        <x:v>doi_structurally_verified_from_source</x:v>
      </x:c>
      <x:c r="G68" s="20" t="str">
        <x:v>Run Crossref/Zotero DOI resolver; if mismatch, move to 00_To_Verify.</x:v>
      </x:c>
    </x:row>
    <x:row r="69">
      <x:c r="A69" s="20" t="str">
        <x:v>williams2018_broad_coverage_challenge</x:v>
      </x:c>
      <x:c r="B69" s="20" t="str">
        <x:v>A Broad-Coverage Challenge Corpus for Sentence Understanding through Inference</x:v>
      </x:c>
      <x:c r="C69" s="20" t="str">
        <x:v>10.18653/v1/N18-1101</x:v>
      </x:c>
      <x:c r="D69" s="20" t="str">
        <x:v>https://aclanthology.org/N18-1101/</x:v>
      </x:c>
      <x:c r="E69" s="20" t="str">
        <x:v>DOI</x:v>
      </x:c>
      <x:c r="F69" s="20" t="str">
        <x:v>doi_structurally_verified_from_source</x:v>
      </x:c>
      <x:c r="G69" s="20" t="str">
        <x:v>Run Crossref/Zotero DOI resolver; if mismatch, move to 00_To_Verify.</x:v>
      </x:c>
    </x:row>
    <x:row r="70">
      <x:c r="A70" s="20" t="str">
        <x:v>herlihy2021_mednli_not_immune</x:v>
      </x:c>
      <x:c r="B70" s="20" t="str">
        <x:v>MedNLI Is Not Immune: Natural Language Inference Artifacts in the Clinical Domain</x:v>
      </x:c>
      <x:c r="C70" s="20" t="str"/>
      <x:c r="D70" s="20" t="str">
        <x:v>https://arxiv.org/abs/2106.01491</x:v>
      </x:c>
      <x:c r="E70" s="20" t="str">
        <x:v>arXiv</x:v>
      </x:c>
      <x:c r="F70" s="20" t="str">
        <x:v>arxiv_stable_no_doi</x:v>
      </x:c>
      <x:c r="G70" s="20" t="str">
        <x:v>Open arXiv page; export BibTeX from arXiv or Zotero connector.</x:v>
      </x:c>
    </x:row>
    <x:row r="71">
      <x:c r="A71" s="20" t="str">
        <x:v>oul2025_turkmednli_turkish_medical</x:v>
      </x:c>
      <x:c r="B71" s="20" t="str">
        <x:v>TurkMedNLI: A Turkish Medical Natural Language Inference Dataset</x:v>
      </x:c>
      <x:c r="C71" s="20" t="str">
        <x:v>10.1038/s41597-025-04689-3</x:v>
      </x:c>
      <x:c r="D71" s="20" t="str">
        <x:v>https://pmc.ncbi.nlm.nih.gov/articles/PMC11888880/</x:v>
      </x:c>
      <x:c r="E71" s="20" t="str">
        <x:v>DOI</x:v>
      </x:c>
      <x:c r="F71" s="20" t="str">
        <x:v>doi_structurally_verified_from_source</x:v>
      </x:c>
      <x:c r="G71" s="20" t="str">
        <x:v>Run Crossref/Zotero DOI resolver; if mismatch, move to 00_To_Verify.</x:v>
      </x:c>
    </x:row>
    <x:row r="72">
      <x:c r="A72" s="20" t="str">
        <x:v>chaban2024_enhancing_medical_nli</x:v>
      </x:c>
      <x:c r="B72" s="20" t="str">
        <x:v>Enhancing Medical NLI with Integrated Domain Knowledge</x:v>
      </x:c>
      <x:c r="C72" s="20" t="str"/>
      <x:c r="D72" s="20" t="str">
        <x:v>https://ceur-ws.org/Vol-3790/paper23.pdf</x:v>
      </x:c>
      <x:c r="E72" s="20" t="str">
        <x:v>URL</x:v>
      </x:c>
      <x:c r="F72" s="20" t="str">
        <x:v>url_stable_no_doi</x:v>
      </x:c>
      <x:c r="G72" s="20" t="str">
        <x:v>Open publisher/repository URL; verify metadata manually.</x:v>
      </x:c>
    </x:row>
    <x:row r="73">
      <x:c r="A73" s="20" t="str">
        <x:v>wadden2020_fact_or_fiction</x:v>
      </x:c>
      <x:c r="B73" s="20" t="str">
        <x:v>Fact or Fiction: Verifying Scientific Claims</x:v>
      </x:c>
      <x:c r="C73" s="20" t="str">
        <x:v>10.18653/v1/2020.emnlp-main.609</x:v>
      </x:c>
      <x:c r="D73" s="20" t="str">
        <x:v>https://aclanthology.org/2020.emnlp-main.609/</x:v>
      </x:c>
      <x:c r="E73" s="20" t="str">
        <x:v>DOI</x:v>
      </x:c>
      <x:c r="F73" s="20" t="str">
        <x:v>doi_structurally_verified_from_source</x:v>
      </x:c>
      <x:c r="G73" s="20" t="str">
        <x:v>Run Crossref/Zotero DOI resolver; if mismatch, move to 00_To_Verify.</x:v>
      </x:c>
    </x:row>
    <x:row r="74">
      <x:c r="A74" s="20" t="str">
        <x:v>saakyan2021_covid_fact_fact</x:v>
      </x:c>
      <x:c r="B74" s="20" t="str">
        <x:v>COVID-Fact: Fact Extraction and Verification of Real-World Claims on COVID-19 Pandemic</x:v>
      </x:c>
      <x:c r="C74" s="20" t="str">
        <x:v>10.18653/v1/2021.acl-long.165</x:v>
      </x:c>
      <x:c r="D74" s="20" t="str">
        <x:v>https://aclanthology.org/2021.acl-long.165/</x:v>
      </x:c>
      <x:c r="E74" s="20" t="str">
        <x:v>DOI</x:v>
      </x:c>
      <x:c r="F74" s="20" t="str">
        <x:v>doi_structurally_verified_from_source</x:v>
      </x:c>
      <x:c r="G74" s="20" t="str">
        <x:v>Run Crossref/Zotero DOI resolver; if mismatch, move to 00_To_Verify.</x:v>
      </x:c>
    </x:row>
    <x:row r="75">
      <x:c r="A75" s="20" t="str">
        <x:v>kotonya2020_explainable_fact_checking</x:v>
      </x:c>
      <x:c r="B75" s="20" t="str">
        <x:v>Explainable Automated Fact-Checking for Public Health Claims</x:v>
      </x:c>
      <x:c r="C75" s="20" t="str">
        <x:v>10.18653/v1/2020.emnlp-main.623</x:v>
      </x:c>
      <x:c r="D75" s="20" t="str">
        <x:v>https://aclanthology.org/2020.emnlp-main.623/</x:v>
      </x:c>
      <x:c r="E75" s="20" t="str">
        <x:v>DOI</x:v>
      </x:c>
      <x:c r="F75" s="20" t="str">
        <x:v>doi_structurally_verified_from_source</x:v>
      </x:c>
      <x:c r="G75" s="20" t="str">
        <x:v>Run Crossref/Zotero DOI resolver; if mismatch, move to 00_To_Verify.</x:v>
      </x:c>
    </x:row>
    <x:row r="76">
      <x:c r="A76" s="20" t="str">
        <x:v>thorne2018_fever_fact_extraction</x:v>
      </x:c>
      <x:c r="B76" s="20" t="str">
        <x:v>FEVER: A Large-scale Dataset for Fact Extraction and VERification</x:v>
      </x:c>
      <x:c r="C76" s="20" t="str">
        <x:v>10.18653/v1/N18-1074</x:v>
      </x:c>
      <x:c r="D76" s="20" t="str">
        <x:v>https://aclanthology.org/N18-1074/</x:v>
      </x:c>
      <x:c r="E76" s="20" t="str">
        <x:v>DOI</x:v>
      </x:c>
      <x:c r="F76" s="20" t="str">
        <x:v>doi_structurally_verified_from_source</x:v>
      </x:c>
      <x:c r="G76" s="20" t="str">
        <x:v>Run Crossref/Zotero DOI resolver; if mismatch, move to 00_To_Verify.</x:v>
      </x:c>
    </x:row>
    <x:row r="77">
      <x:c r="A77" s="20" t="str">
        <x:v>nie2019_combining_fact_extraction</x:v>
      </x:c>
      <x:c r="B77" s="20" t="str">
        <x:v>Combining Fact Extraction and Verification with Neural Semantic Matching Networks</x:v>
      </x:c>
      <x:c r="C77" s="20" t="str">
        <x:v>10.1609/aaai.v33i01.33016859</x:v>
      </x:c>
      <x:c r="D77" s="20" t="str">
        <x:v>https://ojs.aaai.org/index.php/AAAI/article/view/4650</x:v>
      </x:c>
      <x:c r="E77" s="20" t="str">
        <x:v>DOI</x:v>
      </x:c>
      <x:c r="F77" s="20" t="str">
        <x:v>doi_structurally_verified_from_source</x:v>
      </x:c>
      <x:c r="G77" s="20" t="str">
        <x:v>Run Crossref/Zotero DOI resolver; if mismatch, move to 00_To_Verify.</x:v>
      </x:c>
    </x:row>
    <x:row r="78">
      <x:c r="A78" s="20" t="str">
        <x:v>schuster2021_get_your_vitamin</x:v>
      </x:c>
      <x:c r="B78" s="20" t="str">
        <x:v>Get Your Vitamin C! Robust Fact Verification with Contrastive Evidence</x:v>
      </x:c>
      <x:c r="C78" s="20" t="str">
        <x:v>10.18653/v1/2021.naacl-main.52</x:v>
      </x:c>
      <x:c r="D78" s="20" t="str">
        <x:v>https://aclanthology.org/2021.naacl-main.52/</x:v>
      </x:c>
      <x:c r="E78" s="20" t="str">
        <x:v>DOI</x:v>
      </x:c>
      <x:c r="F78" s="20" t="str">
        <x:v>doi_structurally_verified_from_source</x:v>
      </x:c>
      <x:c r="G78" s="20" t="str">
        <x:v>Run Crossref/Zotero DOI resolver; if mismatch, move to 00_To_Verify.</x:v>
      </x:c>
    </x:row>
    <x:row r="79">
      <x:c r="A79" s="20" t="str">
        <x:v>zetsu2024_edit_constrained_decoding</x:v>
      </x:c>
      <x:c r="B79" s="20" t="str">
        <x:v>Edit-Constrained Decoding for Sentence Simplification</x:v>
      </x:c>
      <x:c r="C79" s="20" t="str">
        <x:v>10.18653/v1/2024.findings-emnlp.419</x:v>
      </x:c>
      <x:c r="D79" s="20" t="str">
        <x:v>https://aclanthology.org/2024.findings-emnlp.419/</x:v>
      </x:c>
      <x:c r="E79" s="20" t="str">
        <x:v>DOI</x:v>
      </x:c>
      <x:c r="F79" s="20" t="str">
        <x:v>doi_structurally_verified_from_source</x:v>
      </x:c>
      <x:c r="G79" s="20" t="str">
        <x:v>Run Crossref/Zotero DOI resolver; if mismatch, move to 00_To_Verify.</x:v>
      </x:c>
    </x:row>
    <x:row r="80">
      <x:c r="A80" s="20" t="str">
        <x:v>hokamp2017_lexically_constrained_decoding</x:v>
      </x:c>
      <x:c r="B80" s="20" t="str">
        <x:v>Lexically Constrained Decoding for Sequence Generation Using Grid Beam Search</x:v>
      </x:c>
      <x:c r="C80" s="20" t="str">
        <x:v>10.18653/v1/P17-1141</x:v>
      </x:c>
      <x:c r="D80" s="20" t="str">
        <x:v>https://aclanthology.org/P17-1141/</x:v>
      </x:c>
      <x:c r="E80" s="20" t="str">
        <x:v>DOI</x:v>
      </x:c>
      <x:c r="F80" s="20" t="str">
        <x:v>doi_structurally_verified_from_source</x:v>
      </x:c>
      <x:c r="G80" s="20" t="str">
        <x:v>Run Crossref/Zotero DOI resolver; if mismatch, move to 00_To_Verify.</x:v>
      </x:c>
    </x:row>
    <x:row r="81">
      <x:c r="A81" s="20" t="str">
        <x:v>post2018_fast_lexically_constrained</x:v>
      </x:c>
      <x:c r="B81" s="20" t="str">
        <x:v>Fast Lexically Constrained Decoding with Dynamic Beam Allocation for Neural Machine Translation</x:v>
      </x:c>
      <x:c r="C81" s="20" t="str">
        <x:v>10.18653/v1/N18-1119</x:v>
      </x:c>
      <x:c r="D81" s="20" t="str">
        <x:v>https://aclanthology.org/N18-1119/</x:v>
      </x:c>
      <x:c r="E81" s="20" t="str">
        <x:v>DOI</x:v>
      </x:c>
      <x:c r="F81" s="20" t="str">
        <x:v>doi_structurally_verified_from_source</x:v>
      </x:c>
      <x:c r="G81" s="20" t="str">
        <x:v>Run Crossref/Zotero DOI resolver; if mismatch, move to 00_To_Verify.</x:v>
      </x:c>
    </x:row>
    <x:row r="82">
      <x:c r="A82" s="20" t="str">
        <x:v>anderson2017_guided_open_vocabulary</x:v>
      </x:c>
      <x:c r="B82" s="20" t="str">
        <x:v>Guided Open Vocabulary Image Captioning with Constrained Beam Search</x:v>
      </x:c>
      <x:c r="C82" s="20" t="str">
        <x:v>10.18653/v1/D17-1098</x:v>
      </x:c>
      <x:c r="D82" s="20" t="str">
        <x:v>https://aclanthology.org/D17-1098/</x:v>
      </x:c>
      <x:c r="E82" s="20" t="str">
        <x:v>DOI</x:v>
      </x:c>
      <x:c r="F82" s="20" t="str">
        <x:v>doi_structurally_verified_from_source</x:v>
      </x:c>
      <x:c r="G82" s="20" t="str">
        <x:v>Run Crossref/Zotero DOI resolver; if mismatch, move to 00_To_Verify.</x:v>
      </x:c>
    </x:row>
    <x:row r="83">
      <x:c r="A83" s="20" t="str">
        <x:v>lu2021_neurologic_decoding_un</x:v>
      </x:c>
      <x:c r="B83" s="20" t="str">
        <x:v>Neurologic Decoding: (Un)supervised Neural Text Generation with Predicate Logic Constraints</x:v>
      </x:c>
      <x:c r="C83" s="20" t="str">
        <x:v>10.18653/v1/2021.naacl-main.339</x:v>
      </x:c>
      <x:c r="D83" s="20" t="str">
        <x:v>https://aclanthology.org/2021.naacl-main.339/</x:v>
      </x:c>
      <x:c r="E83" s="20" t="str">
        <x:v>DOI</x:v>
      </x:c>
      <x:c r="F83" s="20" t="str">
        <x:v>doi_structurally_verified_from_source</x:v>
      </x:c>
      <x:c r="G83" s="20" t="str">
        <x:v>Run Crossref/Zotero DOI resolver; if mismatch, move to 00_To_Verify.</x:v>
      </x:c>
    </x:row>
    <x:row r="84">
      <x:c r="A84" s="20" t="str">
        <x:v>welleck2020_neural_text_generation</x:v>
      </x:c>
      <x:c r="B84" s="20" t="str">
        <x:v>Neural Text Generation with Unlikelihood Training</x:v>
      </x:c>
      <x:c r="C84" s="20" t="str"/>
      <x:c r="D84" s="20" t="str">
        <x:v>https://openreview.net/forum?id=SJeYe0NtvH</x:v>
      </x:c>
      <x:c r="E84" s="20" t="str">
        <x:v>URL</x:v>
      </x:c>
      <x:c r="F84" s="20" t="str">
        <x:v>url_stable_no_doi</x:v>
      </x:c>
      <x:c r="G84" s="20" t="str">
        <x:v>Open publisher/repository URL; verify metadata manually.</x:v>
      </x:c>
    </x:row>
    <x:row r="85">
      <x:c r="A85" s="20" t="str">
        <x:v>pascual2021_plug_play_controlled</x:v>
      </x:c>
      <x:c r="B85" s="20" t="str">
        <x:v>A Plug-and-Play Method for Controlled Text Generation</x:v>
      </x:c>
      <x:c r="C85" s="20" t="str">
        <x:v>10.18653/v1/2021.findings-acl.334</x:v>
      </x:c>
      <x:c r="D85" s="20" t="str">
        <x:v>https://aclanthology.org/2021.findings-acl.334/</x:v>
      </x:c>
      <x:c r="E85" s="20" t="str">
        <x:v>DOI</x:v>
      </x:c>
      <x:c r="F85" s="20" t="str">
        <x:v>doi_structurally_verified_from_source</x:v>
      </x:c>
      <x:c r="G85" s="20" t="str">
        <x:v>Run Crossref/Zotero DOI resolver; if mismatch, move to 00_To_Verify.</x:v>
      </x:c>
    </x:row>
    <x:row r="86">
      <x:c r="A86" s="20" t="str">
        <x:v>dathathri2020_plug_play_language</x:v>
      </x:c>
      <x:c r="B86" s="20" t="str">
        <x:v>Plug and Play Language Models: A Simple Approach to Controlled Text Generation</x:v>
      </x:c>
      <x:c r="C86" s="20" t="str"/>
      <x:c r="D86" s="20" t="str">
        <x:v>https://openreview.net/forum?id=H1edEyBKDS</x:v>
      </x:c>
      <x:c r="E86" s="20" t="str">
        <x:v>URL</x:v>
      </x:c>
      <x:c r="F86" s="20" t="str">
        <x:v>url_stable_no_doi</x:v>
      </x:c>
      <x:c r="G86" s="20" t="str">
        <x:v>Open publisher/repository URL; verify metadata manually.</x:v>
      </x:c>
    </x:row>
    <x:row r="87">
      <x:c r="A87" s="20" t="str">
        <x:v>krause2021_gedi_generative_discriminator</x:v>
      </x:c>
      <x:c r="B87" s="20" t="str">
        <x:v>GeDi: Generative Discriminator Guided Sequence Generation</x:v>
      </x:c>
      <x:c r="C87" s="20" t="str">
        <x:v>10.18653/v1/2021.findings-emnlp.424</x:v>
      </x:c>
      <x:c r="D87" s="20" t="str">
        <x:v>https://aclanthology.org/2021.findings-emnlp.424/</x:v>
      </x:c>
      <x:c r="E87" s="20" t="str">
        <x:v>DOI</x:v>
      </x:c>
      <x:c r="F87" s="20" t="str">
        <x:v>doi_structurally_verified_from_source</x:v>
      </x:c>
      <x:c r="G87" s="20" t="str">
        <x:v>Run Crossref/Zotero DOI resolver; if mismatch, move to 00_To_Verify.</x:v>
      </x:c>
    </x:row>
    <x:row r="88">
      <x:c r="A88" s="20" t="str">
        <x:v>shin2020_autoprompt_eliciting_knowledge</x:v>
      </x:c>
      <x:c r="B88" s="20" t="str">
        <x:v>AutoPrompt: Eliciting Knowledge from Language Models with Automatically Generated Prompts</x:v>
      </x:c>
      <x:c r="C88" s="20" t="str">
        <x:v>10.18653/v1/2020.emnlp-main.346</x:v>
      </x:c>
      <x:c r="D88" s="20" t="str">
        <x:v>https://aclanthology.org/2020.emnlp-main.346/</x:v>
      </x:c>
      <x:c r="E88" s="20" t="str">
        <x:v>DOI</x:v>
      </x:c>
      <x:c r="F88" s="20" t="str">
        <x:v>doi_structurally_verified_from_source</x:v>
      </x:c>
      <x:c r="G88" s="20" t="str">
        <x:v>Run Crossref/Zotero DOI resolver; if mismatch, move to 00_To_Verify.</x:v>
      </x:c>
    </x:row>
    <x:row r="89">
      <x:c r="A89" s="20" t="str">
        <x:v>hu2017_controlled_generation_text</x:v>
      </x:c>
      <x:c r="B89" s="20" t="str">
        <x:v>Toward Controlled Generation of Text</x:v>
      </x:c>
      <x:c r="C89" s="20" t="str"/>
      <x:c r="D89" s="20" t="str">
        <x:v>https://proceedings.mlr.press/v70/hu17e.html</x:v>
      </x:c>
      <x:c r="E89" s="20" t="str">
        <x:v>URL</x:v>
      </x:c>
      <x:c r="F89" s="20" t="str">
        <x:v>url_stable_no_doi</x:v>
      </x:c>
      <x:c r="G89" s="20" t="str">
        <x:v>Open publisher/repository URL; verify metadata manually.</x:v>
      </x:c>
    </x:row>
    <x:row r="90">
      <x:c r="A90" s="20" t="str">
        <x:v>kumar2020_controlled_text_generation</x:v>
      </x:c>
      <x:c r="B90" s="20" t="str">
        <x:v>Controlled Text Generation as Continuous Optimization with Multiple Constraints</x:v>
      </x:c>
      <x:c r="C90" s="20" t="str"/>
      <x:c r="D90" s="20" t="str">
        <x:v>https://proceedings.neurips.cc/paper/2020/hash/1f71e393b3809197ed66df836fe833e5-Abstract.html</x:v>
      </x:c>
      <x:c r="E90" s="20" t="str">
        <x:v>URL</x:v>
      </x:c>
      <x:c r="F90" s="20" t="str">
        <x:v>url_stable_no_doi</x:v>
      </x:c>
      <x:c r="G90" s="20" t="str">
        <x:v>Open publisher/repository URL; verify metadata manually.</x:v>
      </x:c>
    </x:row>
    <x:row r="91">
      <x:c r="A91" s="20" t="str">
        <x:v>lewis2020_retrieval_augmented_generation</x:v>
      </x:c>
      <x:c r="B91" s="20" t="str">
        <x:v>Retrieval-Augmented Generation for Knowledge-Intensive NLP Tasks</x:v>
      </x:c>
      <x:c r="C91" s="20" t="str"/>
      <x:c r="D91" s="20" t="str">
        <x:v>https://proceedings.neurips.cc/paper/2020/hash/6b493230205f780e1bc26945df7481e5-Abstract.html</x:v>
      </x:c>
      <x:c r="E91" s="20" t="str">
        <x:v>URL</x:v>
      </x:c>
      <x:c r="F91" s="20" t="str">
        <x:v>url_stable_no_doi</x:v>
      </x:c>
      <x:c r="G91" s="20" t="str">
        <x:v>Open publisher/repository URL; verify metadata manually.</x:v>
      </x:c>
    </x:row>
    <x:row r="92">
      <x:c r="A92" s="20" t="str">
        <x:v>guu2020_realm_retrieval_augmented</x:v>
      </x:c>
      <x:c r="B92" s="20" t="str">
        <x:v>REALM: Retrieval-Augmented Language Model Pre-Training</x:v>
      </x:c>
      <x:c r="C92" s="20" t="str"/>
      <x:c r="D92" s="20" t="str">
        <x:v>https://proceedings.mlr.press/v119/guu20a.html</x:v>
      </x:c>
      <x:c r="E92" s="20" t="str">
        <x:v>URL</x:v>
      </x:c>
      <x:c r="F92" s="20" t="str">
        <x:v>url_stable_no_doi</x:v>
      </x:c>
      <x:c r="G92" s="20" t="str">
        <x:v>Open publisher/repository URL; verify metadata manually.</x:v>
      </x:c>
    </x:row>
    <x:row r="93">
      <x:c r="A93" s="20" t="str">
        <x:v>karpukhin2020_dense_passage_retrieval</x:v>
      </x:c>
      <x:c r="B93" s="20" t="str">
        <x:v>Dense Passage Retrieval for Open-Domain Question Answering</x:v>
      </x:c>
      <x:c r="C93" s="20" t="str">
        <x:v>10.18653/v1/2020.emnlp-main.550</x:v>
      </x:c>
      <x:c r="D93" s="20" t="str">
        <x:v>https://aclanthology.org/2020.emnlp-main.550/</x:v>
      </x:c>
      <x:c r="E93" s="20" t="str">
        <x:v>DOI</x:v>
      </x:c>
      <x:c r="F93" s="20" t="str">
        <x:v>doi_structurally_verified_from_source</x:v>
      </x:c>
      <x:c r="G93" s="20" t="str">
        <x:v>Run Crossref/Zotero DOI resolver; if mismatch, move to 00_To_Verify.</x:v>
      </x:c>
    </x:row>
    <x:row r="94">
      <x:c r="A94" s="20" t="str">
        <x:v>izacard2021_leveraging_passage_retrieval</x:v>
      </x:c>
      <x:c r="B94" s="20" t="str">
        <x:v>Leveraging Passage Retrieval with Generative Models for Open Domain Question Answering</x:v>
      </x:c>
      <x:c r="C94" s="20" t="str">
        <x:v>10.18653/v1/2021.eacl-main.74</x:v>
      </x:c>
      <x:c r="D94" s="20" t="str">
        <x:v>https://aclanthology.org/2021.eacl-main.74/</x:v>
      </x:c>
      <x:c r="E94" s="20" t="str">
        <x:v>DOI</x:v>
      </x:c>
      <x:c r="F94" s="20" t="str">
        <x:v>doi_structurally_verified_from_source</x:v>
      </x:c>
      <x:c r="G94" s="20" t="str">
        <x:v>Run Crossref/Zotero DOI resolver; if mismatch, move to 00_To_Verify.</x:v>
      </x:c>
    </x:row>
    <x:row r="95">
      <x:c r="A95" s="20" t="str">
        <x:v>asai2024_self_rag_learning</x:v>
      </x:c>
      <x:c r="B95" s="20" t="str">
        <x:v>Self-RAG: Learning to Retrieve, Generate, and Critique through Self-Reflection</x:v>
      </x:c>
      <x:c r="C95" s="20" t="str"/>
      <x:c r="D95" s="20" t="str">
        <x:v>https://arxiv.org/abs/2310.11511</x:v>
      </x:c>
      <x:c r="E95" s="20" t="str">
        <x:v>arXiv</x:v>
      </x:c>
      <x:c r="F95" s="20" t="str">
        <x:v>arxiv_stable_no_doi</x:v>
      </x:c>
      <x:c r="G95" s="20" t="str">
        <x:v>Open arXiv page; export BibTeX from arXiv or Zotero connector.</x:v>
      </x:c>
    </x:row>
    <x:row r="96">
      <x:c r="A96" s="20" t="str">
        <x:v>gao2024_retrieval_augmented_generation</x:v>
      </x:c>
      <x:c r="B96" s="20" t="str">
        <x:v>Retrieval-Augmented Generation for Large Language Models: A Survey</x:v>
      </x:c>
      <x:c r="C96" s="20" t="str"/>
      <x:c r="D96" s="20" t="str">
        <x:v>https://arxiv.org/abs/2312.10997</x:v>
      </x:c>
      <x:c r="E96" s="20" t="str">
        <x:v>arXiv</x:v>
      </x:c>
      <x:c r="F96" s="20" t="str">
        <x:v>arxiv_stable_no_doi</x:v>
      </x:c>
      <x:c r="G96" s="20" t="str">
        <x:v>Open arXiv page; export BibTeX from arXiv or Zotero connector.</x:v>
      </x:c>
    </x:row>
    <x:row r="97">
      <x:c r="A97" s="20" t="str">
        <x:v>edge2024_local_global_graph</x:v>
      </x:c>
      <x:c r="B97" s="20" t="str">
        <x:v>From Local to Global: A Graph RAG Approach to Query-Focused Summarization</x:v>
      </x:c>
      <x:c r="C97" s="20" t="str"/>
      <x:c r="D97" s="20" t="str">
        <x:v>https://arxiv.org/abs/2404.16130</x:v>
      </x:c>
      <x:c r="E97" s="20" t="str">
        <x:v>arXiv</x:v>
      </x:c>
      <x:c r="F97" s="20" t="str">
        <x:v>arxiv_stable_no_doi</x:v>
      </x:c>
      <x:c r="G97" s="20" t="str">
        <x:v>Open arXiv page; export BibTeX from arXiv or Zotero connector.</x:v>
      </x:c>
    </x:row>
    <x:row r="98">
      <x:c r="A98" s="20" t="str">
        <x:v>xiong2024_benchmarking_retrieval_augmented</x:v>
      </x:c>
      <x:c r="B98" s="20" t="str">
        <x:v>Benchmarking Retrieval-Augmented Generation for Medicine</x:v>
      </x:c>
      <x:c r="C98" s="20" t="str"/>
      <x:c r="D98" s="20" t="str">
        <x:v>https://arxiv.org/abs/2402.13178</x:v>
      </x:c>
      <x:c r="E98" s="20" t="str">
        <x:v>arXiv</x:v>
      </x:c>
      <x:c r="F98" s="20" t="str">
        <x:v>arxiv_stable_no_doi</x:v>
      </x:c>
      <x:c r="G98" s="20" t="str">
        <x:v>Open arXiv page; export BibTeX from arXiv or Zotero connector.</x:v>
      </x:c>
    </x:row>
    <x:row r="99">
      <x:c r="A99" s="20" t="str">
        <x:v>singhal2023_language_encode_clinical</x:v>
      </x:c>
      <x:c r="B99" s="20" t="str">
        <x:v>Large Language Models Encode Clinical Knowledge</x:v>
      </x:c>
      <x:c r="C99" s="20" t="str">
        <x:v>10.1038/s41586-023-06291-2</x:v>
      </x:c>
      <x:c r="D99" s="20" t="str">
        <x:v>https://www.nature.com/articles/s41586-023-06291-2</x:v>
      </x:c>
      <x:c r="E99" s="20" t="str">
        <x:v>DOI</x:v>
      </x:c>
      <x:c r="F99" s="20" t="str">
        <x:v>doi_structurally_verified_from_source</x:v>
      </x:c>
      <x:c r="G99" s="20" t="str">
        <x:v>Run Crossref/Zotero DOI resolver; if mismatch, move to 00_To_Verify.</x:v>
      </x:c>
    </x:row>
    <x:row r="100">
      <x:c r="A100" s="20" t="str">
        <x:v>singhal2025_expert_level_medical</x:v>
      </x:c>
      <x:c r="B100" s="20" t="str">
        <x:v>Toward Expert-Level Medical Question Answering with Large Language Models</x:v>
      </x:c>
      <x:c r="C100" s="20" t="str">
        <x:v>10.1038/s41591-025-03483-4</x:v>
      </x:c>
      <x:c r="D100" s="20" t="str">
        <x:v>https://www.nature.com/</x:v>
      </x:c>
      <x:c r="E100" s="20" t="str">
        <x:v>DOI</x:v>
      </x:c>
      <x:c r="F100" s="20" t="str">
        <x:v>doi_structurally_verified_from_source</x:v>
      </x:c>
      <x:c r="G100" s="20" t="str">
        <x:v>Run Crossref/Zotero DOI resolver; if mismatch, move to 00_To_Verify.</x:v>
      </x:c>
    </x:row>
    <x:row r="101">
      <x:c r="A101" s="20" t="str">
        <x:v>jin2019_pubmedqa_biomedical_research</x:v>
      </x:c>
      <x:c r="B101" s="20" t="str">
        <x:v>PubMedQA: A Dataset for Biomedical Research Question Answering</x:v>
      </x:c>
      <x:c r="C101" s="20" t="str">
        <x:v>10.18653/v1/D19-1259</x:v>
      </x:c>
      <x:c r="D101" s="20" t="str">
        <x:v>https://aclanthology.org/D19-1259/</x:v>
      </x:c>
      <x:c r="E101" s="20" t="str">
        <x:v>DOI</x:v>
      </x:c>
      <x:c r="F101" s="20" t="str">
        <x:v>doi_structurally_verified_from_source</x:v>
      </x:c>
      <x:c r="G101" s="20" t="str">
        <x:v>Run Crossref/Zotero DOI resolver; if mismatch, move to 00_To_Verify.</x:v>
      </x:c>
    </x:row>
    <x:row r="102">
      <x:c r="A102" s="20" t="str">
        <x:v>luo2022_biogpt_generative_pre</x:v>
      </x:c>
      <x:c r="B102" s="20" t="str">
        <x:v>BioGPT: Generative Pre-trained Transformer for Biomedical Text Generation and Mining</x:v>
      </x:c>
      <x:c r="C102" s="20" t="str">
        <x:v>10.1093/bib/bbac409</x:v>
      </x:c>
      <x:c r="D102" s="20" t="str">
        <x:v>https://academic.oup.com/bib/article/23/6/bbac409/6713511</x:v>
      </x:c>
      <x:c r="E102" s="20" t="str">
        <x:v>DOI</x:v>
      </x:c>
      <x:c r="F102" s="20" t="str">
        <x:v>doi_structurally_verified_from_source</x:v>
      </x:c>
      <x:c r="G102" s="20" t="str">
        <x:v>Run Crossref/Zotero DOI resolver; if mismatch, move to 00_To_Verify.</x:v>
      </x:c>
    </x:row>
    <x:row r="103">
      <x:c r="A103" s="20" t="str">
        <x:v>lee2020_biobert_pre_trained</x:v>
      </x:c>
      <x:c r="B103" s="20" t="str">
        <x:v>BioBERT: A Pre-trained Biomedical Language Representation Model for Biomedical Text Mining</x:v>
      </x:c>
      <x:c r="C103" s="20" t="str">
        <x:v>10.1093/bioinformatics/btz682</x:v>
      </x:c>
      <x:c r="D103" s="20" t="str">
        <x:v>https://academic.oup.com/bioinformatics/article/36/4/1234/5566506</x:v>
      </x:c>
      <x:c r="E103" s="20" t="str">
        <x:v>DOI</x:v>
      </x:c>
      <x:c r="F103" s="20" t="str">
        <x:v>doi_structurally_verified_from_source</x:v>
      </x:c>
      <x:c r="G103" s="20" t="str">
        <x:v>Run Crossref/Zotero DOI resolver; if mismatch, move to 00_To_Verify.</x:v>
      </x:c>
    </x:row>
    <x:row r="104">
      <x:c r="A104" s="20" t="str">
        <x:v>alsentzer2019_publicly_available_clinical</x:v>
      </x:c>
      <x:c r="B104" s="20" t="str">
        <x:v>Publicly Available Clinical BERT Embeddings</x:v>
      </x:c>
      <x:c r="C104" s="20" t="str">
        <x:v>10.18653/v1/W19-1909</x:v>
      </x:c>
      <x:c r="D104" s="20" t="str">
        <x:v>https://aclanthology.org/W19-1909/</x:v>
      </x:c>
      <x:c r="E104" s="20" t="str">
        <x:v>DOI</x:v>
      </x:c>
      <x:c r="F104" s="20" t="str">
        <x:v>doi_structurally_verified_from_source</x:v>
      </x:c>
      <x:c r="G104" s="20" t="str">
        <x:v>Run Crossref/Zotero DOI resolver; if mismatch, move to 00_To_Verify.</x:v>
      </x:c>
    </x:row>
    <x:row r="105">
      <x:c r="A105" s="20" t="str">
        <x:v>peng2019_transfer_learning_biomedical</x:v>
      </x:c>
      <x:c r="B105" s="20" t="str">
        <x:v>Transfer Learning in Biomedical Natural Language Processing: An Evaluation of BERT and ELMo on Ten Benchmarking Datasets</x:v>
      </x:c>
      <x:c r="C105" s="20" t="str">
        <x:v>10.18653/v1/W19-5006</x:v>
      </x:c>
      <x:c r="D105" s="20" t="str">
        <x:v>https://aclanthology.org/W19-5006/</x:v>
      </x:c>
      <x:c r="E105" s="20" t="str">
        <x:v>DOI</x:v>
      </x:c>
      <x:c r="F105" s="20" t="str">
        <x:v>doi_structurally_verified_from_source</x:v>
      </x:c>
      <x:c r="G105" s="20" t="str">
        <x:v>Run Crossref/Zotero DOI resolver; if mismatch, move to 00_To_Verify.</x:v>
      </x:c>
    </x:row>
    <x:row r="106">
      <x:c r="A106" s="20" t="str">
        <x:v>bodenreider2004_unified_medical_language</x:v>
      </x:c>
      <x:c r="B106" s="20" t="str">
        <x:v>The Unified Medical Language System (UMLS): Integrating Biomedical Terminology</x:v>
      </x:c>
      <x:c r="C106" s="20" t="str">
        <x:v>10.1093/nar/gkh061</x:v>
      </x:c>
      <x:c r="D106" s="20" t="str">
        <x:v>https://academic.oup.com/nar/article/32/suppl_1/D267/2505204</x:v>
      </x:c>
      <x:c r="E106" s="20" t="str">
        <x:v>DOI</x:v>
      </x:c>
      <x:c r="F106" s="20" t="str">
        <x:v>doi_structurally_verified_from_source</x:v>
      </x:c>
      <x:c r="G106" s="20" t="str">
        <x:v>Run Crossref/Zotero DOI resolver; if mismatch, move to 00_To_Verify.</x:v>
      </x:c>
    </x:row>
    <x:row r="107">
      <x:c r="A107" s="20" t="str">
        <x:v>lindberg1993_unified_medical_language</x:v>
      </x:c>
      <x:c r="B107" s="20" t="str">
        <x:v>The Unified Medical Language System</x:v>
      </x:c>
      <x:c r="C107" s="20" t="str">
        <x:v>10.1055/s-0038-1634945</x:v>
      </x:c>
      <x:c r="D107" s="20" t="str">
        <x:v>https://pubmed.ncbi.nlm.nih.gov/8412823/</x:v>
      </x:c>
      <x:c r="E107" s="20" t="str">
        <x:v>DOI</x:v>
      </x:c>
      <x:c r="F107" s="20" t="str">
        <x:v>doi_present_needs_crossref_check</x:v>
      </x:c>
      <x:c r="G107" s="20" t="str">
        <x:v>Run Crossref/Zotero DOI resolver; if mismatch, move to 00_To_Verify.</x:v>
      </x:c>
    </x:row>
    <x:row r="108">
      <x:c r="A108" s="20" t="str">
        <x:v>zeng2006_exploring_developing_consumer</x:v>
      </x:c>
      <x:c r="B108" s="20" t="str">
        <x:v>Exploring and Developing Consumer Health Vocabularies</x:v>
      </x:c>
      <x:c r="C108" s="20" t="str">
        <x:v>10.1197/jamia.M1761</x:v>
      </x:c>
      <x:c r="D108" s="20" t="str">
        <x:v>https://academic.oup.com/jamia/article/13/1/24/773700</x:v>
      </x:c>
      <x:c r="E108" s="20" t="str">
        <x:v>DOI</x:v>
      </x:c>
      <x:c r="F108" s="20" t="str">
        <x:v>doi_present_needs_crossref_check</x:v>
      </x:c>
      <x:c r="G108" s="20" t="str">
        <x:v>Run Crossref/Zotero DOI resolver; if mismatch, move to 00_To_Verify.</x:v>
      </x:c>
    </x:row>
    <x:row r="109">
      <x:c r="A109" s="20" t="str">
        <x:v>saggion2017_text_simplification</x:v>
      </x:c>
      <x:c r="B109" s="20" t="str">
        <x:v>Automatic Text Simplification</x:v>
      </x:c>
      <x:c r="C109" s="20" t="str">
        <x:v>10.2200/S00700ED1V01Y201602HLT032</x:v>
      </x:c>
      <x:c r="D109" s="20" t="str">
        <x:v>https://doi.org/10.2200/S00700ED1V01Y201602HLT032</x:v>
      </x:c>
      <x:c r="E109" s="20" t="str">
        <x:v>DOI</x:v>
      </x:c>
      <x:c r="F109" s="20" t="str">
        <x:v>doi_present_needs_crossref_check</x:v>
      </x:c>
      <x:c r="G109" s="20" t="str">
        <x:v>Run Crossref/Zotero DOI resolver; if mismatch, move to 00_To_Verify.</x:v>
      </x:c>
    </x:row>
    <x:row r="110">
      <x:c r="A110" s="20" t="str">
        <x:v>alvamanchego2020_easse_easier_sentence</x:v>
      </x:c>
      <x:c r="B110" s="20" t="str">
        <x:v>EASSE: Easier Automatic Sentence Simplification Evaluation</x:v>
      </x:c>
      <x:c r="C110" s="20" t="str">
        <x:v>10.18653/v1/2020.emnlp-demos.9</x:v>
      </x:c>
      <x:c r="D110" s="20" t="str">
        <x:v>https://aclanthology.org/2020.emnlp-demos.9/</x:v>
      </x:c>
      <x:c r="E110" s="20" t="str">
        <x:v>DOI</x:v>
      </x:c>
      <x:c r="F110" s="20" t="str">
        <x:v>doi_structurally_verified_from_source</x:v>
      </x:c>
      <x:c r="G110" s="20" t="str">
        <x:v>Run Crossref/Zotero DOI resolver; if mismatch, move to 00_To_Verify.</x:v>
      </x:c>
    </x:row>
    <x:row r="111">
      <x:c r="A111" s="20" t="str">
        <x:v>xu2016_optimizing_statistical_machine</x:v>
      </x:c>
      <x:c r="B111" s="20" t="str">
        <x:v>Optimizing Statistical Machine Translation for Text Simplification</x:v>
      </x:c>
      <x:c r="C111" s="20" t="str">
        <x:v>10.1162/tacl_a_00107</x:v>
      </x:c>
      <x:c r="D111" s="20" t="str">
        <x:v>https://aclanthology.org/Q16-1029/</x:v>
      </x:c>
      <x:c r="E111" s="20" t="str">
        <x:v>DOI</x:v>
      </x:c>
      <x:c r="F111" s="20" t="str">
        <x:v>doi_structurally_verified_from_source</x:v>
      </x:c>
      <x:c r="G111" s="20" t="str">
        <x:v>Run Crossref/Zotero DOI resolver; if mismatch, move to 00_To_Verify.</x:v>
      </x:c>
    </x:row>
    <x:row r="112">
      <x:c r="A112" s="20" t="str">
        <x:v>zhang2017_sentence_simplification_deep</x:v>
      </x:c>
      <x:c r="B112" s="20" t="str">
        <x:v>Sentence Simplification with Deep Reinforcement Learning</x:v>
      </x:c>
      <x:c r="C112" s="20" t="str">
        <x:v>10.18653/v1/D17-1062</x:v>
      </x:c>
      <x:c r="D112" s="20" t="str">
        <x:v>https://aclanthology.org/D17-1062/</x:v>
      </x:c>
      <x:c r="E112" s="20" t="str">
        <x:v>DOI</x:v>
      </x:c>
      <x:c r="F112" s="20" t="str">
        <x:v>doi_structurally_verified_from_source</x:v>
      </x:c>
      <x:c r="G112" s="20" t="str">
        <x:v>Run Crossref/Zotero DOI resolver; if mismatch, move to 00_To_Verify.</x:v>
      </x:c>
    </x:row>
    <x:row r="113">
      <x:c r="A113" s="20" t="str">
        <x:v>nisioi2017_exploring_neural_text</x:v>
      </x:c>
      <x:c r="B113" s="20" t="str">
        <x:v>Exploring Neural Text Simplification Models</x:v>
      </x:c>
      <x:c r="C113" s="20" t="str">
        <x:v>10.18653/v1/P17-2014</x:v>
      </x:c>
      <x:c r="D113" s="20" t="str">
        <x:v>https://aclanthology.org/P17-2014/</x:v>
      </x:c>
      <x:c r="E113" s="20" t="str">
        <x:v>DOI</x:v>
      </x:c>
      <x:c r="F113" s="20" t="str">
        <x:v>doi_structurally_verified_from_source</x:v>
      </x:c>
      <x:c r="G113" s="20" t="str">
        <x:v>Run Crossref/Zotero DOI resolver; if mismatch, move to 00_To_Verify.</x:v>
      </x:c>
    </x:row>
    <x:row r="114">
      <x:c r="A114" s="20" t="str">
        <x:v>martin2020_muss_multilingual_unsupervised</x:v>
      </x:c>
      <x:c r="B114" s="20" t="str">
        <x:v>MUSS: Multilingual Unsupervised Sentence Simplification by Mining Paraphrases</x:v>
      </x:c>
      <x:c r="C114" s="20" t="str"/>
      <x:c r="D114" s="20" t="str">
        <x:v>https://aclanthology.org/2020.lrec-1.577/</x:v>
      </x:c>
      <x:c r="E114" s="20" t="str">
        <x:v>ACL Anthology ID</x:v>
      </x:c>
      <x:c r="F114" s="20" t="str">
        <x:v>acl_id_stable_no_doi_field</x:v>
      </x:c>
      <x:c r="G114" s="20" t="str">
        <x:v>Open ACL page; use BibTeX from ACL Anthology if available.</x:v>
      </x:c>
    </x:row>
    <x:row r="115">
      <x:c r="A115" s="20" t="str">
        <x:v>martin2022_muss_multilingual_simplification</x:v>
      </x:c>
      <x:c r="B115" s="20" t="str">
        <x:v>MUSS: Multilingual Simplification by Encoding Simplification Operations</x:v>
      </x:c>
      <x:c r="C115" s="20" t="str">
        <x:v>10.1162/tacl_a_00467</x:v>
      </x:c>
      <x:c r="D115" s="20" t="str">
        <x:v>https://aclanthology.org/2022.tacl-1.34/</x:v>
      </x:c>
      <x:c r="E115" s="20" t="str">
        <x:v>DOI</x:v>
      </x:c>
      <x:c r="F115" s="20" t="str">
        <x:v>doi_structurally_verified_from_source</x:v>
      </x:c>
      <x:c r="G115" s="20" t="str">
        <x:v>Run Crossref/Zotero DOI resolver; if mismatch, move to 00_To_Verify.</x:v>
      </x:c>
    </x:row>
    <x:row r="116">
      <x:c r="A116" s="20" t="str">
        <x:v>scarton2018_learning_simplification_specific</x:v>
      </x:c>
      <x:c r="B116" s="20" t="str">
        <x:v>Learning Simplifications for Specific Target Audiences</x:v>
      </x:c>
      <x:c r="C116" s="20" t="str">
        <x:v>10.18653/v1/P18-1034</x:v>
      </x:c>
      <x:c r="D116" s="20" t="str">
        <x:v>https://aclanthology.org/P18-1034/</x:v>
      </x:c>
      <x:c r="E116" s="20" t="str">
        <x:v>DOI</x:v>
      </x:c>
      <x:c r="F116" s="20" t="str">
        <x:v>doi_structurally_verified_from_source</x:v>
      </x:c>
      <x:c r="G116" s="20" t="str">
        <x:v>Run Crossref/Zotero DOI resolver; if mismatch, move to 00_To_Verify.</x:v>
      </x:c>
    </x:row>
    <x:row r="117">
      <x:c r="A117" s="20" t="str">
        <x:v>maddela2018_word_complexity_lexicon</x:v>
      </x:c>
      <x:c r="B117" s="20" t="str">
        <x:v>A Word-Complexity Lexicon and A Neural Readability Ranking Model for Lexical Simplification</x:v>
      </x:c>
      <x:c r="C117" s="20" t="str">
        <x:v>10.18653/v1/D18-1410</x:v>
      </x:c>
      <x:c r="D117" s="20" t="str">
        <x:v>https://aclanthology.org/D18-1410/</x:v>
      </x:c>
      <x:c r="E117" s="20" t="str">
        <x:v>DOI</x:v>
      </x:c>
      <x:c r="F117" s="20" t="str">
        <x:v>doi_structurally_verified_from_source</x:v>
      </x:c>
      <x:c r="G117" s="20" t="str">
        <x:v>Run Crossref/Zotero DOI resolver; if mismatch, move to 00_To_Verify.</x:v>
      </x:c>
    </x:row>
    <x:row r="118">
      <x:c r="A118" s="20" t="str">
        <x:v>shardlow2014_text_simplification</x:v>
      </x:c>
      <x:c r="B118" s="20" t="str">
        <x:v>A Survey of Automated Text Simplification</x:v>
      </x:c>
      <x:c r="C118" s="20" t="str"/>
      <x:c r="D118" s="20" t="str">
        <x:v>https://thesai.org/Publications/ViewPaper?Volume=4&amp;Issue=1&amp;Code=IJACSA&amp;SerialNo=1</x:v>
      </x:c>
      <x:c r="E118" s="20" t="str">
        <x:v>URL</x:v>
      </x:c>
      <x:c r="F118" s="20" t="str">
        <x:v>url_stable_no_doi</x:v>
      </x:c>
      <x:c r="G118" s="20" t="str">
        <x:v>Open publisher/repository URL; verify metadata manually.</x:v>
      </x:c>
    </x:row>
    <x:row r="119">
      <x:c r="A119" s="20" t="str">
        <x:v>paetzold2017_lexical_simplification</x:v>
      </x:c>
      <x:c r="B119" s="20" t="str">
        <x:v>A Survey on Lexical Simplification</x:v>
      </x:c>
      <x:c r="C119" s="20" t="str">
        <x:v>10.1613/jair.5526</x:v>
      </x:c>
      <x:c r="D119" s="20" t="str">
        <x:v>https://www.jair.org/index.php/jair/article/view/10984</x:v>
      </x:c>
      <x:c r="E119" s="20" t="str">
        <x:v>DOI</x:v>
      </x:c>
      <x:c r="F119" s="20" t="str">
        <x:v>doi_present_needs_crossref_check</x:v>
      </x:c>
      <x:c r="G119" s="20" t="str">
        <x:v>Run Crossref/Zotero DOI resolver; if mismatch, move to 00_To_Verify.</x:v>
      </x:c>
    </x:row>
    <x:row r="120">
      <x:c r="A120" s="20" t="str">
        <x:v>althanyyan2021_text_simplification</x:v>
      </x:c>
      <x:c r="B120" s="20" t="str">
        <x:v>Automated Text Simplification: A Survey</x:v>
      </x:c>
      <x:c r="C120" s="20" t="str">
        <x:v>10.1145/3442695</x:v>
      </x:c>
      <x:c r="D120" s="20" t="str">
        <x:v>https://doi.org/10.1145/3442695</x:v>
      </x:c>
      <x:c r="E120" s="20" t="str">
        <x:v>DOI</x:v>
      </x:c>
      <x:c r="F120" s="20" t="str">
        <x:v>doi_structurally_verified_from_source</x:v>
      </x:c>
      <x:c r="G120" s="20" t="str">
        <x:v>Run Crossref/Zotero DOI resolver; if mismatch, move to 00_To_Verify.</x:v>
      </x:c>
    </x:row>
    <x:row r="121">
      <x:c r="A121" s="20" t="str">
        <x:v>siddharthan2014_research_text_simplification</x:v>
      </x:c>
      <x:c r="B121" s="20" t="str">
        <x:v>A Survey of Research on Text Simplification</x:v>
      </x:c>
      <x:c r="C121" s="20" t="str">
        <x:v>10.1075/itl.165.2.06sid</x:v>
      </x:c>
      <x:c r="D121" s="20" t="str">
        <x:v>https://doi.org/10.1075/itl.165.2.06sid</x:v>
      </x:c>
      <x:c r="E121" s="20" t="str">
        <x:v>DOI</x:v>
      </x:c>
      <x:c r="F121" s="20" t="str">
        <x:v>doi_present_needs_crossref_check</x:v>
      </x:c>
      <x:c r="G121" s="20" t="str">
        <x:v>Run Crossref/Zotero DOI resolver; if mismatch, move to 00_To_Verify.</x:v>
      </x:c>
    </x:row>
    <x:row r="122">
      <x:c r="A122" s="20" t="str">
        <x:v>zhu2010_monolingual_tree_translation</x:v>
      </x:c>
      <x:c r="B122" s="20" t="str">
        <x:v>A Monolingual Tree-based Translation Model for Sentence Simplification</x:v>
      </x:c>
      <x:c r="C122" s="20" t="str"/>
      <x:c r="D122" s="20" t="str">
        <x:v>https://aclanthology.org/C10-1152/</x:v>
      </x:c>
      <x:c r="E122" s="20" t="str">
        <x:v>ACL Anthology ID</x:v>
      </x:c>
      <x:c r="F122" s="20" t="str">
        <x:v>acl_id_stable_no_doi_field</x:v>
      </x:c>
      <x:c r="G122" s="20" t="str">
        <x:v>Open ACL page; use BibTeX from ACL Anthology if available.</x:v>
      </x:c>
    </x:row>
    <x:row r="123">
      <x:c r="A123" s="20" t="str">
        <x:v>woodsend2011_learning_simplify_sentences</x:v>
      </x:c>
      <x:c r="B123" s="20" t="str">
        <x:v>Learning to Simplify Sentences with Quasi-Synchronous Grammar and Integer Programming</x:v>
      </x:c>
      <x:c r="C123" s="20" t="str"/>
      <x:c r="D123" s="20" t="str">
        <x:v>https://aclanthology.org/D11-1038/</x:v>
      </x:c>
      <x:c r="E123" s="20" t="str">
        <x:v>ACL Anthology ID</x:v>
      </x:c>
      <x:c r="F123" s="20" t="str">
        <x:v>acl_id_stable_no_doi_field</x:v>
      </x:c>
      <x:c r="G123" s="20" t="str">
        <x:v>Open ACL page; use BibTeX from ACL Anthology if available.</x:v>
      </x:c>
    </x:row>
    <x:row r="124">
      <x:c r="A124" s="20" t="str">
        <x:v>narayan2014_hybrid_simplification_deep</x:v>
      </x:c>
      <x:c r="B124" s="20" t="str">
        <x:v>Hybrid Simplification using Deep Semantics and Machine Translation</x:v>
      </x:c>
      <x:c r="C124" s="20" t="str">
        <x:v>10.3115/v1/P14-1034</x:v>
      </x:c>
      <x:c r="D124" s="20" t="str">
        <x:v>https://aclanthology.org/P14-1034/</x:v>
      </x:c>
      <x:c r="E124" s="20" t="str">
        <x:v>DOI</x:v>
      </x:c>
      <x:c r="F124" s="20" t="str">
        <x:v>doi_present_needs_crossref_check</x:v>
      </x:c>
      <x:c r="G124" s="20" t="str">
        <x:v>Run Crossref/Zotero DOI resolver; if mismatch, move to 00_To_Verify.</x:v>
      </x:c>
    </x:row>
    <x:row r="125">
      <x:c r="A125" s="20" t="str">
        <x:v>wubben2012_sentence_simplification_monolingual</x:v>
      </x:c>
      <x:c r="B125" s="20" t="str">
        <x:v>Sentence Simplification by Monolingual Machine Translation</x:v>
      </x:c>
      <x:c r="C125" s="20" t="str"/>
      <x:c r="D125" s="20" t="str">
        <x:v>https://aclanthology.org/P12-1107/</x:v>
      </x:c>
      <x:c r="E125" s="20" t="str">
        <x:v>ACL Anthology ID</x:v>
      </x:c>
      <x:c r="F125" s="20" t="str">
        <x:v>acl_id_stable_no_doi_field</x:v>
      </x:c>
      <x:c r="G125" s="20" t="str">
        <x:v>Open ACL page; use BibTeX from ACL Anthology if available.</x:v>
      </x:c>
    </x:row>
    <x:row r="126">
      <x:c r="A126" s="20" t="str">
        <x:v>coster2011_simple_english_wikipedia</x:v>
      </x:c>
      <x:c r="B126" s="20" t="str">
        <x:v>Simple English Wikipedia: A New Text Simplification Task</x:v>
      </x:c>
      <x:c r="C126" s="20" t="str"/>
      <x:c r="D126" s="20" t="str">
        <x:v>https://aclanthology.org/P11-2117/</x:v>
      </x:c>
      <x:c r="E126" s="20" t="str">
        <x:v>ACL Anthology ID</x:v>
      </x:c>
      <x:c r="F126" s="20" t="str">
        <x:v>acl_id_stable_no_doi_field</x:v>
      </x:c>
      <x:c r="G126" s="20" t="str">
        <x:v>Open ACL page; use BibTeX from ACL Anthology if available.</x:v>
      </x:c>
    </x:row>
    <x:row r="127">
      <x:c r="A127" s="20" t="str">
        <x:v>zhang2015_character_level_convolutional</x:v>
      </x:c>
      <x:c r="B127" s="20" t="str">
        <x:v>Character-level Convolutional Networks for Text Classification</x:v>
      </x:c>
      <x:c r="C127" s="20" t="str"/>
      <x:c r="D127" s="20" t="str">
        <x:v>https://proceedings.neurips.cc/paper/2015/hash/250cf8b51c773f3f8dc8b4be867a9a02-Abstract.html</x:v>
      </x:c>
      <x:c r="E127" s="20" t="str">
        <x:v>URL</x:v>
      </x:c>
      <x:c r="F127" s="20" t="str">
        <x:v>url_stable_no_doi</x:v>
      </x:c>
      <x:c r="G127" s="20" t="str">
        <x:v>Open publisher/repository URL; verify metadata manually.</x:v>
      </x:c>
    </x:row>
    <x:row r="128">
      <x:c r="A128" s="20" t="str">
        <x:v>zhao2018_integrating_transformer_paraphrase</x:v>
      </x:c>
      <x:c r="B128" s="20" t="str">
        <x:v>Integrating Transformer and Paraphrase Rules for Sentence Simplification</x:v>
      </x:c>
      <x:c r="C128" s="20" t="str">
        <x:v>10.18653/v1/D18-1355</x:v>
      </x:c>
      <x:c r="D128" s="20" t="str">
        <x:v>https://aclanthology.org/D18-1355/</x:v>
      </x:c>
      <x:c r="E128" s="20" t="str">
        <x:v>DOI</x:v>
      </x:c>
      <x:c r="F128" s="20" t="str">
        <x:v>doi_structurally_verified_from_source</x:v>
      </x:c>
      <x:c r="G128" s="20" t="str">
        <x:v>Run Crossref/Zotero DOI resolver; if mismatch, move to 00_To_Verify.</x:v>
      </x:c>
    </x:row>
    <x:row r="129">
      <x:c r="A129" s="20" t="str">
        <x:v>kriz2019_simplification_paraphrases_context</x:v>
      </x:c>
      <x:c r="B129" s="20" t="str">
        <x:v>Simplification Using Paraphrases and Context-based Lexical Substitution</x:v>
      </x:c>
      <x:c r="C129" s="20" t="str">
        <x:v>10.18653/v1/N19-1328</x:v>
      </x:c>
      <x:c r="D129" s="20" t="str">
        <x:v>https://aclanthology.org/N19-1328/</x:v>
      </x:c>
      <x:c r="E129" s="20" t="str">
        <x:v>DOI</x:v>
      </x:c>
      <x:c r="F129" s="20" t="str">
        <x:v>doi_structurally_verified_from_source</x:v>
      </x:c>
      <x:c r="G129" s="20" t="str">
        <x:v>Run Crossref/Zotero DOI resolver; if mismatch, move to 00_To_Verify.</x:v>
      </x:c>
    </x:row>
    <x:row r="130">
      <x:c r="A130" s="20" t="str">
        <x:v>lin2004_rouge_package_evaluation</x:v>
      </x:c>
      <x:c r="B130" s="20" t="str">
        <x:v>ROUGE: A Package for Automatic Evaluation of Summaries</x:v>
      </x:c>
      <x:c r="C130" s="20" t="str"/>
      <x:c r="D130" s="20" t="str">
        <x:v>https://aclanthology.org/W04-1013/</x:v>
      </x:c>
      <x:c r="E130" s="20" t="str">
        <x:v>ACL Anthology ID</x:v>
      </x:c>
      <x:c r="F130" s="20" t="str">
        <x:v>acl_id_stable_no_doi_field</x:v>
      </x:c>
      <x:c r="G130" s="20" t="str">
        <x:v>Open ACL page; use BibTeX from ACL Anthology if available.</x:v>
      </x:c>
    </x:row>
    <x:row r="131">
      <x:c r="A131" s="20" t="str">
        <x:v>papineni2002_bleu_evaluation_machine</x:v>
      </x:c>
      <x:c r="B131" s="20" t="str">
        <x:v>BLEU: A Method for Automatic Evaluation of Machine Translation</x:v>
      </x:c>
      <x:c r="C131" s="20" t="str">
        <x:v>10.3115/1073083.1073135</x:v>
      </x:c>
      <x:c r="D131" s="20" t="str">
        <x:v>https://aclanthology.org/P02-1040/</x:v>
      </x:c>
      <x:c r="E131" s="20" t="str">
        <x:v>DOI</x:v>
      </x:c>
      <x:c r="F131" s="20" t="str">
        <x:v>doi_present_needs_crossref_check</x:v>
      </x:c>
      <x:c r="G131" s="20" t="str">
        <x:v>Run Crossref/Zotero DOI resolver; if mismatch, move to 00_To_Verify.</x:v>
      </x:c>
    </x:row>
    <x:row r="132">
      <x:c r="A132" s="20" t="str">
        <x:v>banerjee2005_meteor_metric_mt</x:v>
      </x:c>
      <x:c r="B132" s="20" t="str">
        <x:v>METEOR: An Automatic Metric for MT Evaluation with Improved Correlation with Human Judgments</x:v>
      </x:c>
      <x:c r="C132" s="20" t="str"/>
      <x:c r="D132" s="20" t="str">
        <x:v>https://aclanthology.org/W05-0909/</x:v>
      </x:c>
      <x:c r="E132" s="20" t="str">
        <x:v>ACL Anthology ID</x:v>
      </x:c>
      <x:c r="F132" s="20" t="str">
        <x:v>acl_id_stable_no_doi_field</x:v>
      </x:c>
      <x:c r="G132" s="20" t="str">
        <x:v>Open ACL page; use BibTeX from ACL Anthology if available.</x:v>
      </x:c>
    </x:row>
    <x:row r="133">
      <x:c r="A133" s="20" t="str">
        <x:v>zhang2020_bertscore_evaluating_text</x:v>
      </x:c>
      <x:c r="B133" s="20" t="str">
        <x:v>BERTScore: Evaluating Text Generation with BERT</x:v>
      </x:c>
      <x:c r="C133" s="20" t="str"/>
      <x:c r="D133" s="20" t="str">
        <x:v>https://openreview.net/forum?id=SkeHuCVFDr</x:v>
      </x:c>
      <x:c r="E133" s="20" t="str">
        <x:v>arXiv</x:v>
      </x:c>
      <x:c r="F133" s="20" t="str">
        <x:v>arxiv_stable_no_doi</x:v>
      </x:c>
      <x:c r="G133" s="20" t="str">
        <x:v>Open arXiv page; export BibTeX from arXiv or Zotero connector.</x:v>
      </x:c>
    </x:row>
    <x:row r="134">
      <x:c r="A134" s="20" t="str">
        <x:v>sellam2020_bleurt_learning_robust</x:v>
      </x:c>
      <x:c r="B134" s="20" t="str">
        <x:v>BLEURT: Learning Robust Metrics for Text Generation</x:v>
      </x:c>
      <x:c r="C134" s="20" t="str">
        <x:v>10.18653/v1/2020.acl-main.704</x:v>
      </x:c>
      <x:c r="D134" s="20" t="str">
        <x:v>https://aclanthology.org/2020.acl-main.704/</x:v>
      </x:c>
      <x:c r="E134" s="20" t="str">
        <x:v>DOI</x:v>
      </x:c>
      <x:c r="F134" s="20" t="str">
        <x:v>doi_structurally_verified_from_source</x:v>
      </x:c>
      <x:c r="G134" s="20" t="str">
        <x:v>Run Crossref/Zotero DOI resolver; if mismatch, move to 00_To_Verify.</x:v>
      </x:c>
    </x:row>
    <x:row r="135">
      <x:c r="A135" s="20" t="str">
        <x:v>rei2020_comet_neural_framework</x:v>
      </x:c>
      <x:c r="B135" s="20" t="str">
        <x:v>COMET: A Neural Framework for MT Evaluation</x:v>
      </x:c>
      <x:c r="C135" s="20" t="str">
        <x:v>10.18653/v1/2020.emnlp-main.213</x:v>
      </x:c>
      <x:c r="D135" s="20" t="str">
        <x:v>https://aclanthology.org/2020.emnlp-main.213/</x:v>
      </x:c>
      <x:c r="E135" s="20" t="str">
        <x:v>DOI</x:v>
      </x:c>
      <x:c r="F135" s="20" t="str">
        <x:v>doi_structurally_verified_from_source</x:v>
      </x:c>
      <x:c r="G135" s="20" t="str">
        <x:v>Run Crossref/Zotero DOI resolver; if mismatch, move to 00_To_Verify.</x:v>
      </x:c>
    </x:row>
    <x:row r="136">
      <x:c r="A136" s="20" t="str">
        <x:v>landis1977_measurement_observer_agreement</x:v>
      </x:c>
      <x:c r="B136" s="20" t="str">
        <x:v>The Measurement of Observer Agreement for Categorical Data</x:v>
      </x:c>
      <x:c r="C136" s="20" t="str">
        <x:v>10.2307/2529310</x:v>
      </x:c>
      <x:c r="D136" s="20" t="str">
        <x:v>https://doi.org/10.2307/2529310</x:v>
      </x:c>
      <x:c r="E136" s="20" t="str">
        <x:v>DOI</x:v>
      </x:c>
      <x:c r="F136" s="20" t="str">
        <x:v>doi_present_needs_crossref_check</x:v>
      </x:c>
      <x:c r="G136" s="20" t="str">
        <x:v>Run Crossref/Zotero DOI resolver; if mismatch, move to 00_To_Verify.</x:v>
      </x:c>
    </x:row>
    <x:row r="137">
      <x:c r="A137" s="20" t="str">
        <x:v>fleiss1971_measuring_nominal_agreement</x:v>
      </x:c>
      <x:c r="B137" s="20" t="str">
        <x:v>Measuring Nominal Scale Agreement among Many Raters</x:v>
      </x:c>
      <x:c r="C137" s="20" t="str">
        <x:v>10.1037/h0031619</x:v>
      </x:c>
      <x:c r="D137" s="20" t="str">
        <x:v>https://doi.org/10.1037/h0031619</x:v>
      </x:c>
      <x:c r="E137" s="20" t="str">
        <x:v>DOI</x:v>
      </x:c>
      <x:c r="F137" s="20" t="str">
        <x:v>doi_present_needs_crossref_check</x:v>
      </x:c>
      <x:c r="G137" s="20" t="str">
        <x:v>Run Crossref/Zotero DOI resolver; if mismatch, move to 00_To_Verify.</x:v>
      </x:c>
    </x:row>
    <x:row r="138">
      <x:c r="A138" s="20" t="str">
        <x:v>cohen1960_coefficient_agreement_nominal</x:v>
      </x:c>
      <x:c r="B138" s="20" t="str">
        <x:v>A Coefficient of Agreement for Nominal Scales</x:v>
      </x:c>
      <x:c r="C138" s="20" t="str">
        <x:v>10.1177/001316446002000104</x:v>
      </x:c>
      <x:c r="D138" s="20" t="str">
        <x:v>https://doi.org/10.1177/001316446002000104</x:v>
      </x:c>
      <x:c r="E138" s="20" t="str">
        <x:v>DOI</x:v>
      </x:c>
      <x:c r="F138" s="20" t="str">
        <x:v>doi_present_needs_crossref_check</x:v>
      </x:c>
      <x:c r="G138" s="20" t="str">
        <x:v>Run Crossref/Zotero DOI resolver; if mismatch, move to 00_To_Verify.</x:v>
      </x:c>
    </x:row>
    <x:row r="139">
      <x:c r="A139" s="20" t="str">
        <x:v>krippendorff2011_computing_krippendorff_s</x:v>
      </x:c>
      <x:c r="B139" s="20" t="str">
        <x:v>Computing Krippendorff's Alpha-Reliability</x:v>
      </x:c>
      <x:c r="C139" s="20" t="str"/>
      <x:c r="D139" s="20" t="str">
        <x:v>https://repository.upenn.edu/asc_papers/43/</x:v>
      </x:c>
      <x:c r="E139" s="20" t="str">
        <x:v>URL</x:v>
      </x:c>
      <x:c r="F139" s="20" t="str">
        <x:v>url_stable_no_doi</x:v>
      </x:c>
      <x:c r="G139" s="20" t="str">
        <x:v>Open publisher/repository URL; verify metadata manually.</x:v>
      </x:c>
    </x:row>
    <x:row r="140">
      <x:c r="A140" s="20" t="str">
        <x:v>belz2006_comparing_human_evaluation</x:v>
      </x:c>
      <x:c r="B140" s="20" t="str">
        <x:v>Comparing Automatic and Human Evaluation of NLG Systems</x:v>
      </x:c>
      <x:c r="C140" s="20" t="str"/>
      <x:c r="D140" s="20" t="str">
        <x:v>https://aclanthology.org/E06-1040/</x:v>
      </x:c>
      <x:c r="E140" s="20" t="str">
        <x:v>ACL Anthology ID</x:v>
      </x:c>
      <x:c r="F140" s="20" t="str">
        <x:v>acl_id_stable_no_doi_field</x:v>
      </x:c>
      <x:c r="G140" s="20" t="str">
        <x:v>Open ACL page; use BibTeX from ACL Anthology if available.</x:v>
      </x:c>
    </x:row>
    <x:row r="141">
      <x:c r="A141" s="20" t="str">
        <x:v>vanderlee2019_best_practices_human</x:v>
      </x:c>
      <x:c r="B141" s="20" t="str">
        <x:v>Best Practices for the Human Evaluation of Automatically Generated Text</x:v>
      </x:c>
      <x:c r="C141" s="20" t="str">
        <x:v>10.18653/v1/W19-8643</x:v>
      </x:c>
      <x:c r="D141" s="20" t="str">
        <x:v>https://aclanthology.org/W19-8643/</x:v>
      </x:c>
      <x:c r="E141" s="20" t="str">
        <x:v>DOI</x:v>
      </x:c>
      <x:c r="F141" s="20" t="str">
        <x:v>doi_structurally_verified_from_source</x:v>
      </x:c>
      <x:c r="G141" s="20" t="str">
        <x:v>Run Crossref/Zotero DOI resolver; if mismatch, move to 00_To_Verify.</x:v>
      </x:c>
    </x:row>
    <x:row r="142">
      <x:c r="A142" s="20" t="str">
        <x:v>howcroft2020_twenty_years_confusion</x:v>
      </x:c>
      <x:c r="B142" s="20" t="str">
        <x:v>Twenty Years of Confusion in Human Evaluation: NLG Needs Evaluation Sheets and Standardised Definitions</x:v>
      </x:c>
      <x:c r="C142" s="20" t="str">
        <x:v>10.18653/v1/2020.inlg-1.23</x:v>
      </x:c>
      <x:c r="D142" s="20" t="str">
        <x:v>https://aclanthology.org/2020.inlg-1.23/</x:v>
      </x:c>
      <x:c r="E142" s="20" t="str">
        <x:v>DOI</x:v>
      </x:c>
      <x:c r="F142" s="20" t="str">
        <x:v>doi_structurally_verified_from_source</x:v>
      </x:c>
      <x:c r="G142" s="20" t="str">
        <x:v>Run Crossref/Zotero DOI resolver; if mismatch, move to 00_To_Verify.</x:v>
      </x:c>
    </x:row>
    <x:row r="143">
      <x:c r="A143" s="20" t="str">
        <x:v>flesch1948_readability_yardstick</x:v>
      </x:c>
      <x:c r="B143" s="20" t="str">
        <x:v>A New Readability Yardstick</x:v>
      </x:c>
      <x:c r="C143" s="20" t="str">
        <x:v>10.1037/h0057532</x:v>
      </x:c>
      <x:c r="D143" s="20" t="str">
        <x:v>https://doi.org/10.1037/h0057532</x:v>
      </x:c>
      <x:c r="E143" s="20" t="str">
        <x:v>DOI</x:v>
      </x:c>
      <x:c r="F143" s="20" t="str">
        <x:v>doi_present_needs_crossref_check</x:v>
      </x:c>
      <x:c r="G143" s="20" t="str">
        <x:v>Run Crossref/Zotero DOI resolver; if mismatch, move to 00_To_Verify.</x:v>
      </x:c>
    </x:row>
    <x:row r="144">
      <x:c r="A144" s="20" t="str">
        <x:v>kincaid1975_derivation_readability_formulas</x:v>
      </x:c>
      <x:c r="B144" s="20" t="str">
        <x:v>Derivation of New Readability Formulas for Navy Enlisted Personnel</x:v>
      </x:c>
      <x:c r="C144" s="20" t="str"/>
      <x:c r="D144" s="20" t="str">
        <x:v>https://stars.library.ucf.edu/istlibrary/56/</x:v>
      </x:c>
      <x:c r="E144" s="20" t="str">
        <x:v>URL</x:v>
      </x:c>
      <x:c r="F144" s="20" t="str">
        <x:v>url_stable_no_doi</x:v>
      </x:c>
      <x:c r="G144" s="20" t="str">
        <x:v>Open publisher/repository URL; verify metadata manually.</x:v>
      </x:c>
    </x:row>
    <x:row r="145">
      <x:c r="A145" s="20" t="str">
        <x:v>mclaughlin1969_smog_grading_readability</x:v>
      </x:c>
      <x:c r="B145" s="20" t="str">
        <x:v>SMOG Grading: A New Readability Formula</x:v>
      </x:c>
      <x:c r="C145" s="20" t="str"/>
      <x:c r="D145" s="20" t="str">
        <x:v>https://www.jstor.org/stable/40011226</x:v>
      </x:c>
      <x:c r="E145" s="20" t="str">
        <x:v>URL</x:v>
      </x:c>
      <x:c r="F145" s="20" t="str">
        <x:v>url_stable_no_doi</x:v>
      </x:c>
      <x:c r="G145" s="20" t="str">
        <x:v>Open publisher/repository URL; verify metadata manually.</x:v>
      </x:c>
    </x:row>
    <x:row r="146">
      <x:c r="A146" s="20" t="str">
        <x:v>dale1948_formula_predicting_readability</x:v>
      </x:c>
      <x:c r="B146" s="20" t="str">
        <x:v>A Formula for Predicting Readability</x:v>
      </x:c>
      <x:c r="C146" s="20" t="str"/>
      <x:c r="D146" s="20" t="str">
        <x:v>https://www.jstor.org/stable/1473169</x:v>
      </x:c>
      <x:c r="E146" s="20" t="str">
        <x:v>URL</x:v>
      </x:c>
      <x:c r="F146" s="20" t="str">
        <x:v>url_stable_no_doi</x:v>
      </x:c>
      <x:c r="G146" s="20" t="str">
        <x:v>Open publisher/repository URL; verify metadata manually.</x:v>
      </x:c>
    </x:row>
    <x:row r="147">
      <x:c r="A147" s="20" t="str">
        <x:v>badarudeen2010_assessing_readability_patient</x:v>
      </x:c>
      <x:c r="B147" s="20" t="str">
        <x:v>Assessing Readability of Patient Education Materials: Current Role in Orthopaedics</x:v>
      </x:c>
      <x:c r="C147" s="20" t="str">
        <x:v>10.1007/s11999-010-1380-y</x:v>
      </x:c>
      <x:c r="D147" s="20" t="str">
        <x:v>https://doi.org/10.1007/s11999-010-1380-y</x:v>
      </x:c>
      <x:c r="E147" s="20" t="str">
        <x:v>DOI</x:v>
      </x:c>
      <x:c r="F147" s="20" t="str">
        <x:v>doi_present_needs_crossref_check</x:v>
      </x:c>
      <x:c r="G147" s="20" t="str">
        <x:v>Run Crossref/Zotero DOI resolver; if mismatch, move to 00_To_Verify.</x:v>
      </x:c>
    </x:row>
    <x:row r="148">
      <x:c r="A148" s="20" t="str">
        <x:v>weiss2003_health_literacy_manual</x:v>
      </x:c>
      <x:c r="B148" s="20" t="str">
        <x:v>Health Literacy: A Manual for Clinicians</x:v>
      </x:c>
      <x:c r="C148" s="20" t="str"/>
      <x:c r="D148" s="20" t="str">
        <x:v>https://www.ama-assn.org/</x:v>
      </x:c>
      <x:c r="E148" s="20" t="str">
        <x:v>URL</x:v>
      </x:c>
      <x:c r="F148" s="20" t="str">
        <x:v>url_stable_no_doi</x:v>
      </x:c>
      <x:c r="G148" s="20" t="str">
        <x:v>Open publisher/repository URL; verify metadata manually.</x:v>
      </x:c>
    </x:row>
    <x:row r="149">
      <x:c r="A149" s="20" t="str">
        <x:v>berkman2011_low_health_literacy</x:v>
      </x:c>
      <x:c r="B149" s="20" t="str">
        <x:v>Low Health Literacy and Health Outcomes: An Updated Systematic Review</x:v>
      </x:c>
      <x:c r="C149" s="20" t="str">
        <x:v>10.7326/0003-4819-155-2-201107190-00005</x:v>
      </x:c>
      <x:c r="D149" s="20" t="str">
        <x:v>https://www.acpjournals.org/doi/10.7326/0003-4819-155-2-201107190-00005</x:v>
      </x:c>
      <x:c r="E149" s="20" t="str">
        <x:v>DOI</x:v>
      </x:c>
      <x:c r="F149" s="20" t="str">
        <x:v>doi_present_needs_crossref_check</x:v>
      </x:c>
      <x:c r="G149" s="20" t="str">
        <x:v>Run Crossref/Zotero DOI resolver; if mismatch, move to 00_To_Verify.</x:v>
      </x:c>
    </x:row>
    <x:row r="150">
      <x:c r="A150" s="20" t="str">
        <x:v>page2021_prisma_2020_statement</x:v>
      </x:c>
      <x:c r="B150" s="20" t="str">
        <x:v>The PRISMA 2020 Statement: An Updated Guideline for Reporting Systematic Reviews</x:v>
      </x:c>
      <x:c r="C150" s="20" t="str">
        <x:v>10.1136/bmj.n71</x:v>
      </x:c>
      <x:c r="D150" s="20" t="str">
        <x:v>https://www.bmj.com/content/372/bmj.n71</x:v>
      </x:c>
      <x:c r="E150" s="20" t="str">
        <x:v>DOI</x:v>
      </x:c>
      <x:c r="F150" s="20" t="str">
        <x:v>doi_structurally_verified_from_source</x:v>
      </x:c>
      <x:c r="G150" s="20" t="str">
        <x:v>Run Crossref/Zotero DOI resolver; if mismatch, move to 00_To_Verify.</x:v>
      </x:c>
    </x:row>
    <x:row r="151">
      <x:c r="A151" s="20" t="str">
        <x:v>rethlefsen2021_prisma_s_extension</x:v>
      </x:c>
      <x:c r="B151" s="20" t="str">
        <x:v>PRISMA-S: An Extension to the PRISMA Statement for Reporting Literature Searches in Systematic Reviews</x:v>
      </x:c>
      <x:c r="C151" s="20" t="str">
        <x:v>10.1186/s13643-020-01542-z</x:v>
      </x:c>
      <x:c r="D151" s="20" t="str">
        <x:v>https://systematicreviewsjournal.biomedcentral.com/articles/10.1186/s13643-020-01542-z</x:v>
      </x:c>
      <x:c r="E151" s="20" t="str">
        <x:v>DOI</x:v>
      </x:c>
      <x:c r="F151" s="20" t="str">
        <x:v>doi_structurally_verified_from_source</x:v>
      </x:c>
      <x:c r="G151" s="20" t="str">
        <x:v>Run Crossref/Zotero DOI resolver; if mismatch, move to 00_To_Verify.</x:v>
      </x:c>
    </x:row>
    <x:row r="152">
      <x:c r="A152" s="20" t="str">
        <x:v>campbell2020_synthesis_without_meta</x:v>
      </x:c>
      <x:c r="B152" s="20" t="str">
        <x:v>Synthesis without Meta-analysis (SWiM) in Systematic Reviews: Reporting Guideline</x:v>
      </x:c>
      <x:c r="C152" s="20" t="str">
        <x:v>10.1136/bmj.l6890</x:v>
      </x:c>
      <x:c r="D152" s="20" t="str">
        <x:v>https://www.bmj.com/content/368/bmj.l6890</x:v>
      </x:c>
      <x:c r="E152" s="20" t="str">
        <x:v>DOI</x:v>
      </x:c>
      <x:c r="F152" s="20" t="str">
        <x:v>doi_structurally_verified_from_source</x:v>
      </x:c>
      <x:c r="G152" s="20" t="str">
        <x:v>Run Crossref/Zotero DOI resolver; if mismatch, move to 00_To_Verify.</x:v>
      </x:c>
    </x:row>
    <x:row r="153">
      <x:c r="A153" s="20" t="str">
        <x:v>guyatt2008_grade_emerging_consensus</x:v>
      </x:c>
      <x:c r="B153" s="20" t="str">
        <x:v>GRADE: An Emerging Consensus on Rating Quality of Evidence and Strength of Recommendations</x:v>
      </x:c>
      <x:c r="C153" s="20" t="str">
        <x:v>10.1136/bmj.39489.470347.AD</x:v>
      </x:c>
      <x:c r="D153" s="20" t="str">
        <x:v>https://www.bmj.com/content/336/7650/924</x:v>
      </x:c>
      <x:c r="E153" s="20" t="str">
        <x:v>DOI</x:v>
      </x:c>
      <x:c r="F153" s="20" t="str">
        <x:v>doi_structurally_verified_from_source</x:v>
      </x:c>
      <x:c r="G153" s="20" t="str">
        <x:v>Run Crossref/Zotero DOI resolver; if mismatch, move to 00_To_Verify.</x:v>
      </x:c>
    </x:row>
    <x:row r="154">
      <x:c r="A154" s="20" t="str">
        <x:v>sterne2019_rob_2_revised</x:v>
      </x:c>
      <x:c r="B154" s="20" t="str">
        <x:v>RoB 2: A Revised Tool for Assessing Risk of Bias in Randomised Trials</x:v>
      </x:c>
      <x:c r="C154" s="20" t="str">
        <x:v>10.1136/bmj.l4898</x:v>
      </x:c>
      <x:c r="D154" s="20" t="str">
        <x:v>https://www.bmj.com/content/366/bmj.l4898</x:v>
      </x:c>
      <x:c r="E154" s="20" t="str">
        <x:v>DOI</x:v>
      </x:c>
      <x:c r="F154" s="20" t="str">
        <x:v>doi_structurally_verified_from_source</x:v>
      </x:c>
      <x:c r="G154" s="20" t="str">
        <x:v>Run Crossref/Zotero DOI resolver; if mismatch, move to 00_To_Verify.</x:v>
      </x:c>
    </x:row>
    <x:row r="155">
      <x:c r="A155" s="20" t="str">
        <x:v>sterne2016_robins_i_tool</x:v>
      </x:c>
      <x:c r="B155" s="20" t="str">
        <x:v>ROBINS-I: A Tool for Assessing Risk of Bias in Non-randomised Studies of Interventions</x:v>
      </x:c>
      <x:c r="C155" s="20" t="str">
        <x:v>10.1136/bmj.i4919</x:v>
      </x:c>
      <x:c r="D155" s="20" t="str">
        <x:v>https://www.bmj.com/content/355/bmj.i4919</x:v>
      </x:c>
      <x:c r="E155" s="20" t="str">
        <x:v>DOI</x:v>
      </x:c>
      <x:c r="F155" s="20" t="str">
        <x:v>doi_structurally_verified_from_source</x:v>
      </x:c>
      <x:c r="G155" s="20" t="str">
        <x:v>Run Crossref/Zotero DOI resolver; if mismatch, move to 00_To_Verify.</x:v>
      </x:c>
    </x:row>
    <x:row r="156">
      <x:c r="A156" s="20" t="str">
        <x:v>shea2017_amstar_2_critical</x:v>
      </x:c>
      <x:c r="B156" s="20" t="str">
        <x:v>AMSTAR 2: A Critical Appraisal Tool for Systematic Reviews That Include Randomised or Non-randomised Studies of Healthcare Interventions, or Both</x:v>
      </x:c>
      <x:c r="C156" s="20" t="str">
        <x:v>10.1136/bmj.j4008</x:v>
      </x:c>
      <x:c r="D156" s="20" t="str">
        <x:v>https://www.bmj.com/content/358/bmj.j4008</x:v>
      </x:c>
      <x:c r="E156" s="20" t="str">
        <x:v>DOI</x:v>
      </x:c>
      <x:c r="F156" s="20" t="str">
        <x:v>doi_structurally_verified_from_source</x:v>
      </x:c>
      <x:c r="G156" s="20" t="str">
        <x:v>Run Crossref/Zotero DOI resolver; if mismatch, move to 00_To_Verify.</x:v>
      </x:c>
    </x:row>
    <x:row r="157">
      <x:c r="A157" s="20" t="str">
        <x:v>cooke2012_beyond_pico_spider</x:v>
      </x:c>
      <x:c r="B157" s="20" t="str">
        <x:v>Beyond PICO: The SPIDER Tool for Qualitative Evidence Synthesis</x:v>
      </x:c>
      <x:c r="C157" s="20" t="str">
        <x:v>10.1177/1049732312452938</x:v>
      </x:c>
      <x:c r="D157" s="20" t="str">
        <x:v>https://doi.org/10.1177/1049732312452938</x:v>
      </x:c>
      <x:c r="E157" s="20" t="str">
        <x:v>DOI</x:v>
      </x:c>
      <x:c r="F157" s="20" t="str">
        <x:v>doi_present_needs_crossref_check</x:v>
      </x:c>
      <x:c r="G157" s="20" t="str">
        <x:v>Run Crossref/Zotero DOI resolver; if mismatch, move to 00_To_Verify.</x:v>
      </x:c>
    </x:row>
    <x:row r="158">
      <x:c r="A158" s="20" t="str">
        <x:v>thomas2008_thematic_synthesis_qualitative</x:v>
      </x:c>
      <x:c r="B158" s="20" t="str">
        <x:v>Methods for the Thematic Synthesis of Qualitative Research in Systematic Reviews</x:v>
      </x:c>
      <x:c r="C158" s="20" t="str">
        <x:v>10.1186/1471-2288-8-45</x:v>
      </x:c>
      <x:c r="D158" s="20" t="str">
        <x:v>https://bmcmedresmethodol.biomedcentral.com/articles/10.1186/1471-2288-8-45</x:v>
      </x:c>
      <x:c r="E158" s="20" t="str">
        <x:v>DOI</x:v>
      </x:c>
      <x:c r="F158" s="20" t="str">
        <x:v>doi_structurally_verified_from_source</x:v>
      </x:c>
      <x:c r="G158" s="20" t="str">
        <x:v>Run Crossref/Zotero DOI resolver; if mismatch, move to 00_To_Verify.</x:v>
      </x:c>
    </x:row>
    <x:row r="159">
      <x:c r="A159" s="20" t="str">
        <x:v>haddaway2022_prisma2020_r_package</x:v>
      </x:c>
      <x:c r="B159" s="20" t="str">
        <x:v>PRISMA2020: An R Package and Shiny App for Producing PRISMA 2020-compliant Flow Diagrams</x:v>
      </x:c>
      <x:c r="C159" s="20" t="str">
        <x:v>10.1002/cl2.1230</x:v>
      </x:c>
      <x:c r="D159" s="20" t="str">
        <x:v>https://onlinelibrary.wiley.com/doi/10.1002/cl2.1230</x:v>
      </x:c>
      <x:c r="E159" s="20" t="str">
        <x:v>DOI</x:v>
      </x:c>
      <x:c r="F159" s="20" t="str">
        <x:v>doi_present_needs_crossref_check</x:v>
      </x:c>
      <x:c r="G159" s="20" t="str">
        <x:v>Run Crossref/Zotero DOI resolver; if mismatch, move to 00_To_Verify.</x:v>
      </x:c>
    </x:row>
    <x:row r="160">
      <x:c r="A160" s="20" t="str">
        <x:v>ouzzani2016_rayyan_web_mobile</x:v>
      </x:c>
      <x:c r="B160" s="20" t="str">
        <x:v>Rayyan: A Web and Mobile App for Systematic Reviews</x:v>
      </x:c>
      <x:c r="C160" s="20" t="str">
        <x:v>10.1186/s13643-016-0384-4</x:v>
      </x:c>
      <x:c r="D160" s="20" t="str">
        <x:v>https://systematicreviewsjournal.biomedcentral.com/articles/10.1186/s13643-016-0384-4</x:v>
      </x:c>
      <x:c r="E160" s="20" t="str">
        <x:v>DOI</x:v>
      </x:c>
      <x:c r="F160" s="20" t="str">
        <x:v>doi_structurally_verified_from_source</x:v>
      </x:c>
      <x:c r="G160" s="20" t="str">
        <x:v>Run Crossref/Zotero DOI resolver; if mismatch, move to 00_To_Verify.</x:v>
      </x:c>
    </x:row>
    <x:row r="161">
      <x:c r="A161" s="20" t="str">
        <x:v>aria2017_bibliometrix_r_tool</x:v>
      </x:c>
      <x:c r="B161" s="20" t="str">
        <x:v>Bibliometrix: An R-tool for Comprehensive Science Mapping Analysis</x:v>
      </x:c>
      <x:c r="C161" s="20" t="str">
        <x:v>10.1016/j.joi.2017.08.007</x:v>
      </x:c>
      <x:c r="D161" s="20" t="str">
        <x:v>https://www.sciencedirect.com/science/article/pii/S1751157717300500</x:v>
      </x:c>
      <x:c r="E161" s="20" t="str">
        <x:v>DOI</x:v>
      </x:c>
      <x:c r="F161" s="20" t="str">
        <x:v>doi_structurally_verified_from_source</x:v>
      </x:c>
      <x:c r="G161" s="20" t="str">
        <x:v>Run Crossref/Zotero DOI resolver; if mismatch, move to 00_To_Verify.</x:v>
      </x:c>
    </x:row>
    <x:row r="162">
      <x:c r="A162" s="20" t="str">
        <x:v>vaneck2010_software_vosviewer_computer</x:v>
      </x:c>
      <x:c r="B162" s="20" t="str">
        <x:v>Software Survey: VOSviewer, a Computer Program for Bibliometric Mapping</x:v>
      </x:c>
      <x:c r="C162" s="20" t="str">
        <x:v>10.1007/s11192-009-0146-3</x:v>
      </x:c>
      <x:c r="D162" s="20" t="str">
        <x:v>https://link.springer.com/article/10.1007/s11192-009-0146-3</x:v>
      </x:c>
      <x:c r="E162" s="20" t="str">
        <x:v>DOI</x:v>
      </x:c>
      <x:c r="F162" s="20" t="str">
        <x:v>doi_present_needs_crossref_check</x:v>
      </x:c>
      <x:c r="G162" s="20" t="str">
        <x:v>Run Crossref/Zotero DOI resolver; if mismatch, move to 00_To_Verify.</x:v>
      </x:c>
    </x:row>
    <x:row r="163">
      <x:c r="A163" s="20" t="str">
        <x:v>moher2009_preferred_reporting_items</x:v>
      </x:c>
      <x:c r="B163" s="20" t="str">
        <x:v>Preferred Reporting Items for Systematic Reviews and Meta-Analyses: The PRISMA Statement</x:v>
      </x:c>
      <x:c r="C163" s="20" t="str">
        <x:v>10.1371/journal.pmed.1000097</x:v>
      </x:c>
      <x:c r="D163" s="20" t="str">
        <x:v>https://journals.plos.org/plosmedicine/article?id=10.1371/journal.pmed.1000097</x:v>
      </x:c>
      <x:c r="E163" s="20" t="str">
        <x:v>DOI</x:v>
      </x:c>
      <x:c r="F163" s="20" t="str">
        <x:v>doi_present_needs_crossref_check</x:v>
      </x:c>
      <x:c r="G163" s="20" t="str">
        <x:v>Run Crossref/Zotero DOI resolver; if mismatch, move to 00_To_Verify.</x:v>
      </x:c>
    </x:row>
    <x:row r="164">
      <x:c r="A164" s="20" t="str">
        <x:v>higgins2023_cochrane_handbook_systematic</x:v>
      </x:c>
      <x:c r="B164" s="20" t="str">
        <x:v>Cochrane Handbook for Systematic Reviews of Interventions</x:v>
      </x:c>
      <x:c r="C164" s="20" t="str"/>
      <x:c r="D164" s="20" t="str">
        <x:v>https://training.cochrane.org/handbook/current</x:v>
      </x:c>
      <x:c r="E164" s="20" t="str">
        <x:v>URL</x:v>
      </x:c>
      <x:c r="F164" s="20" t="str">
        <x:v>url_stable_no_doi</x:v>
      </x:c>
      <x:c r="G164" s="20" t="str">
        <x:v>Open publisher/repository URL; verify metadata manually.</x:v>
      </x:c>
    </x:row>
    <x:row r="165">
      <x:c r="A165" s="20" t="str">
        <x:v>aromataris2020_jbi_manual_evidence</x:v>
      </x:c>
      <x:c r="B165" s="20" t="str">
        <x:v>JBI Manual for Evidence Synthesis</x:v>
      </x:c>
      <x:c r="C165" s="20" t="str">
        <x:v>10.46658/JBIMES-20-01</x:v>
      </x:c>
      <x:c r="D165" s="20" t="str">
        <x:v>https://synthesismanual.jbi.global</x:v>
      </x:c>
      <x:c r="E165" s="20" t="str">
        <x:v>DOI</x:v>
      </x:c>
      <x:c r="F165" s="20" t="str">
        <x:v>doi_present_needs_crossref_check</x:v>
      </x:c>
      <x:c r="G165" s="20" t="str">
        <x:v>Run Crossref/Zotero DOI resolver; if mismatch, move to 00_To_Verify.</x:v>
      </x:c>
    </x:row>
    <x:row r="166">
      <x:c r="A166" s="20" t="str">
        <x:v>hong2018_mixed_appraisal_tool</x:v>
      </x:c>
      <x:c r="B166" s="20" t="str">
        <x:v>Mixed Methods Appraisal Tool (MMAT), Version 2018</x:v>
      </x:c>
      <x:c r="C166" s="20" t="str"/>
      <x:c r="D166" s="20" t="str">
        <x:v>http://mixedmethodsappraisaltoolpublic.pbworks.com/</x:v>
      </x:c>
      <x:c r="E166" s="20" t="str">
        <x:v>URL</x:v>
      </x:c>
      <x:c r="F166" s="20" t="str">
        <x:v>url_stable_no_doi</x:v>
      </x:c>
      <x:c r="G166" s="20" t="str">
        <x:v>Open publisher/repository URL; verify metadata manually.</x:v>
      </x:c>
    </x:row>
    <x:row r="167">
      <x:c r="A167" s="20" t="str">
        <x:v>devlin2019_bert_pre_training</x:v>
      </x:c>
      <x:c r="B167" s="20" t="str">
        <x:v>BERT: Pre-training of Deep Bidirectional Transformers for Language Understanding</x:v>
      </x:c>
      <x:c r="C167" s="20" t="str">
        <x:v>10.18653/v1/N19-1423</x:v>
      </x:c>
      <x:c r="D167" s="20" t="str">
        <x:v>https://aclanthology.org/N19-1423/</x:v>
      </x:c>
      <x:c r="E167" s="20" t="str">
        <x:v>DOI</x:v>
      </x:c>
      <x:c r="F167" s="20" t="str">
        <x:v>doi_structurally_verified_from_source</x:v>
      </x:c>
      <x:c r="G167" s="20" t="str">
        <x:v>Run Crossref/Zotero DOI resolver; if mismatch, move to 00_To_Verify.</x:v>
      </x:c>
    </x:row>
    <x:row r="168">
      <x:c r="A168" s="20" t="str">
        <x:v>raffel2020_exploring_limits_transfer</x:v>
      </x:c>
      <x:c r="B168" s="20" t="str">
        <x:v>Exploring the Limits of Transfer Learning with a Unified Text-to-Text Transformer</x:v>
      </x:c>
      <x:c r="C168" s="20" t="str"/>
      <x:c r="D168" s="20" t="str">
        <x:v>https://jmlr.org/papers/v21/20-074.html</x:v>
      </x:c>
      <x:c r="E168" s="20" t="str">
        <x:v>URL</x:v>
      </x:c>
      <x:c r="F168" s="20" t="str">
        <x:v>url_stable_no_doi</x:v>
      </x:c>
      <x:c r="G168" s="20" t="str">
        <x:v>Open publisher/repository URL; verify metadata manually.</x:v>
      </x:c>
    </x:row>
    <x:row r="169">
      <x:c r="A169" s="20" t="str">
        <x:v>lewis2020_bart_denoising_sequence</x:v>
      </x:c>
      <x:c r="B169" s="20" t="str">
        <x:v>BART: Denoising Sequence-to-Sequence Pre-training for Natural Language Generation, Translation, and Comprehension</x:v>
      </x:c>
      <x:c r="C169" s="20" t="str">
        <x:v>10.18653/v1/2020.acl-main.703</x:v>
      </x:c>
      <x:c r="D169" s="20" t="str">
        <x:v>https://aclanthology.org/2020.acl-main.703/</x:v>
      </x:c>
      <x:c r="E169" s="20" t="str">
        <x:v>DOI</x:v>
      </x:c>
      <x:c r="F169" s="20" t="str">
        <x:v>doi_structurally_verified_from_source</x:v>
      </x:c>
      <x:c r="G169" s="20" t="str">
        <x:v>Run Crossref/Zotero DOI resolver; if mismatch, move to 00_To_Verify.</x:v>
      </x:c>
    </x:row>
    <x:row r="170">
      <x:c r="A170" s="20" t="str">
        <x:v>xue2021_mt5_massively_multilingual</x:v>
      </x:c>
      <x:c r="B170" s="20" t="str">
        <x:v>mT5: A Massively Multilingual Pre-trained Text-to-Text Transformer</x:v>
      </x:c>
      <x:c r="C170" s="20" t="str">
        <x:v>10.18653/v1/2021.naacl-main.41</x:v>
      </x:c>
      <x:c r="D170" s="20" t="str">
        <x:v>https://aclanthology.org/2021.naacl-main.41/</x:v>
      </x:c>
      <x:c r="E170" s="20" t="str">
        <x:v>DOI</x:v>
      </x:c>
      <x:c r="F170" s="20" t="str">
        <x:v>doi_structurally_verified_from_source</x:v>
      </x:c>
      <x:c r="G170" s="20" t="str">
        <x:v>Run Crossref/Zotero DOI resolver; if mismatch, move to 00_To_Verify.</x:v>
      </x:c>
    </x:row>
    <x:row r="171">
      <x:c r="A171" s="20" t="str">
        <x:v>liu2020_multilingual_denoising_pre</x:v>
      </x:c>
      <x:c r="B171" s="20" t="str">
        <x:v>Multilingual Denoising Pre-training for Neural Machine Translation</x:v>
      </x:c>
      <x:c r="C171" s="20" t="str">
        <x:v>10.1162/tacl_a_00343</x:v>
      </x:c>
      <x:c r="D171" s="20" t="str">
        <x:v>https://aclanthology.org/2020.tacl-1.47/</x:v>
      </x:c>
      <x:c r="E171" s="20" t="str">
        <x:v>DOI</x:v>
      </x:c>
      <x:c r="F171" s="20" t="str">
        <x:v>doi_structurally_verified_from_source</x:v>
      </x:c>
      <x:c r="G171" s="20" t="str">
        <x:v>Run Crossref/Zotero DOI resolver; if mismatch, move to 00_To_Verify.</x:v>
      </x:c>
    </x:row>
    <x:row r="172">
      <x:c r="A172" s="20" t="str">
        <x:v>conneau2020_unsupervised_cross_lingual</x:v>
      </x:c>
      <x:c r="B172" s="20" t="str">
        <x:v>Unsupervised Cross-lingual Representation Learning at Scale</x:v>
      </x:c>
      <x:c r="C172" s="20" t="str">
        <x:v>10.18653/v1/2020.acl-main.747</x:v>
      </x:c>
      <x:c r="D172" s="20" t="str">
        <x:v>https://aclanthology.org/2020.acl-main.747/</x:v>
      </x:c>
      <x:c r="E172" s="20" t="str">
        <x:v>DOI</x:v>
      </x:c>
      <x:c r="F172" s="20" t="str">
        <x:v>doi_structurally_verified_from_source</x:v>
      </x:c>
      <x:c r="G172" s="20" t="str">
        <x:v>Run Crossref/Zotero DOI resolver; if mismatch, move to 00_To_Verify.</x:v>
      </x:c>
    </x:row>
    <x:row r="173">
      <x:c r="A173" s="20" t="str">
        <x:v>pfeiffer2020_mad_x_adapter</x:v>
      </x:c>
      <x:c r="B173" s="20" t="str">
        <x:v>MAD-X: An Adapter-Based Framework for Multi-Task Cross-Lingual Transfer</x:v>
      </x:c>
      <x:c r="C173" s="20" t="str">
        <x:v>10.18653/v1/2020.emnlp-main.617</x:v>
      </x:c>
      <x:c r="D173" s="20" t="str">
        <x:v>https://aclanthology.org/2020.emnlp-main.617/</x:v>
      </x:c>
      <x:c r="E173" s="20" t="str">
        <x:v>DOI</x:v>
      </x:c>
      <x:c r="F173" s="20" t="str">
        <x:v>doi_structurally_verified_from_source</x:v>
      </x:c>
      <x:c r="G173" s="20" t="str">
        <x:v>Run Crossref/Zotero DOI resolver; if mismatch, move to 00_To_Verify.</x:v>
      </x:c>
    </x:row>
    <x:row r="174">
      <x:c r="A174" s="20" t="str">
        <x:v>houlsby2019_parameter_efficient_transfer</x:v>
      </x:c>
      <x:c r="B174" s="20" t="str">
        <x:v>Parameter-Efficient Transfer Learning for NLP</x:v>
      </x:c>
      <x:c r="C174" s="20" t="str"/>
      <x:c r="D174" s="20" t="str">
        <x:v>https://proceedings.mlr.press/v97/houlsby19a.html</x:v>
      </x:c>
      <x:c r="E174" s="20" t="str">
        <x:v>URL</x:v>
      </x:c>
      <x:c r="F174" s="20" t="str">
        <x:v>url_stable_no_doi</x:v>
      </x:c>
      <x:c r="G174" s="20" t="str">
        <x:v>Open publisher/repository URL; verify metadata manually.</x:v>
      </x:c>
    </x:row>
    <x:row r="175">
      <x:c r="A175" s="20" t="str">
        <x:v>hu2022_lora_low_rank</x:v>
      </x:c>
      <x:c r="B175" s="20" t="str">
        <x:v>LoRA: Low-Rank Adaptation of Large Language Models</x:v>
      </x:c>
      <x:c r="C175" s="20" t="str"/>
      <x:c r="D175" s="20" t="str">
        <x:v>https://openreview.net/forum?id=nZeVKeeFYf9</x:v>
      </x:c>
      <x:c r="E175" s="20" t="str">
        <x:v>arXiv</x:v>
      </x:c>
      <x:c r="F175" s="20" t="str">
        <x:v>arxiv_stable_no_doi</x:v>
      </x:c>
      <x:c r="G175" s="20" t="str">
        <x:v>Open arXiv page; export BibTeX from arXiv or Zotero connector.</x:v>
      </x:c>
    </x:row>
    <x:row r="176">
      <x:c r="A176" s="20" t="str">
        <x:v>joshi2020_state_fate_linguistic</x:v>
      </x:c>
      <x:c r="B176" s="20" t="str">
        <x:v>The State and Fate of Linguistic Diversity and Inclusion in the NLP World</x:v>
      </x:c>
      <x:c r="C176" s="20" t="str">
        <x:v>10.18653/v1/2020.acl-main.560</x:v>
      </x:c>
      <x:c r="D176" s="20" t="str">
        <x:v>https://aclanthology.org/2020.acl-main.560/</x:v>
      </x:c>
      <x:c r="E176" s="20" t="str">
        <x:v>DOI</x:v>
      </x:c>
      <x:c r="F176" s="20" t="str">
        <x:v>doi_structurally_verified_from_source</x:v>
      </x:c>
      <x:c r="G176" s="20" t="str">
        <x:v>Run Crossref/Zotero DOI resolver; if mismatch, move to 00_To_Verify.</x:v>
      </x:c>
    </x:row>
    <x:row r="177">
      <x:c r="A177" s="20" t="str">
        <x:v>ruder2019_cross_lingual_word</x:v>
      </x:c>
      <x:c r="B177" s="20" t="str">
        <x:v>A Survey of Cross-lingual Word Embedding Models</x:v>
      </x:c>
      <x:c r="C177" s="20" t="str">
        <x:v>10.1613/jair.1.11640</x:v>
      </x:c>
      <x:c r="D177" s="20" t="str">
        <x:v>https://www.jair.org/index.php/jair/article/view/11640</x:v>
      </x:c>
      <x:c r="E177" s="20" t="str">
        <x:v>DOI</x:v>
      </x:c>
      <x:c r="F177" s="20" t="str">
        <x:v>doi_present_needs_crossref_check</x:v>
      </x:c>
      <x:c r="G177" s="20" t="str">
        <x:v>Run Crossref/Zotero DOI resolver; if mismatch, move to 00_To_Verify.</x:v>
      </x:c>
    </x:row>
    <x:row r="178">
      <x:c r="A178" s="20" t="str">
        <x:v>lauscher2020_zero_hero_limitations</x:v>
      </x:c>
      <x:c r="B178" s="20" t="str">
        <x:v>From Zero to Hero: On the Limitations of Zero-Shot Cross-Lingual Transfer with Multilingual Transformers</x:v>
      </x:c>
      <x:c r="C178" s="20" t="str">
        <x:v>10.18653/v1/2020.emnlp-main.363</x:v>
      </x:c>
      <x:c r="D178" s="20" t="str">
        <x:v>https://aclanthology.org/2020.emnlp-main.363/</x:v>
      </x:c>
      <x:c r="E178" s="20" t="str">
        <x:v>DOI</x:v>
      </x:c>
      <x:c r="F178" s="20" t="str">
        <x:v>doi_structurally_verified_from_source</x:v>
      </x:c>
      <x:c r="G178" s="20" t="str">
        <x:v>Run Crossref/Zotero DOI resolver; if mismatch, move to 00_To_Verify.</x:v>
      </x:c>
    </x:row>
    <x:row r="179">
      <x:c r="A179" s="20" t="str">
        <x:v>touvron2023_llama_2_open</x:v>
      </x:c>
      <x:c r="B179" s="20" t="str">
        <x:v>Llama 2: Open Foundation and Fine-Tuned Chat Models</x:v>
      </x:c>
      <x:c r="C179" s="20" t="str"/>
      <x:c r="D179" s="20" t="str">
        <x:v>https://arxiv.org/abs/2307.09288</x:v>
      </x:c>
      <x:c r="E179" s="20" t="str">
        <x:v>arXiv</x:v>
      </x:c>
      <x:c r="F179" s="20" t="str">
        <x:v>arxiv_stable_no_doi</x:v>
      </x:c>
      <x:c r="G179" s="20" t="str">
        <x:v>Open arXiv page; export BibTeX from arXiv or Zotero connector.</x:v>
      </x:c>
    </x:row>
    <x:row r="180">
      <x:c r="A180" s="20" t="str">
        <x:v>dubey2024_llama_3_herd</x:v>
      </x:c>
      <x:c r="B180" s="20" t="str">
        <x:v>The Llama 3 Herd of Models</x:v>
      </x:c>
      <x:c r="C180" s="20" t="str"/>
      <x:c r="D180" s="20" t="str">
        <x:v>https://arxiv.org/abs/2407.21783</x:v>
      </x:c>
      <x:c r="E180" s="20" t="str">
        <x:v>arXiv</x:v>
      </x:c>
      <x:c r="F180" s="20" t="str">
        <x:v>arxiv_stable_no_doi</x:v>
      </x:c>
      <x:c r="G180" s="20" t="str">
        <x:v>Open arXiv page; export BibTeX from arXiv or Zotero connector.</x:v>
      </x:c>
    </x:row>
    <x:row r="181">
      <x:c r="A181" s="20" t="str">
        <x:v>yang2024_qwen2_5_technical</x:v>
      </x:c>
      <x:c r="B181" s="20" t="str">
        <x:v>Qwen2.5 Technical Report</x:v>
      </x:c>
      <x:c r="C181" s="20" t="str"/>
      <x:c r="D181" s="20" t="str">
        <x:v>https://arxiv.org/abs/2412.15115</x:v>
      </x:c>
      <x:c r="E181" s="20" t="str">
        <x:v>arXiv</x:v>
      </x:c>
      <x:c r="F181" s="20" t="str">
        <x:v>arxiv_stable_no_doi</x:v>
      </x:c>
      <x:c r="G181" s="20" t="str">
        <x:v>Open arXiv page; export BibTeX from arXiv or Zotero connector.</x:v>
      </x:c>
    </x:row>
    <x:row r="182">
      <x:c r="A182" s="20" t="str">
        <x:v>team2024_gemma_open_gemini</x:v>
      </x:c>
      <x:c r="B182" s="20" t="str">
        <x:v>Gemma: Open Models Based on Gemini Research and Technology</x:v>
      </x:c>
      <x:c r="C182" s="20" t="str"/>
      <x:c r="D182" s="20" t="str">
        <x:v>https://arxiv.org/abs/2403.08295</x:v>
      </x:c>
      <x:c r="E182" s="20" t="str">
        <x:v>arXiv</x:v>
      </x:c>
      <x:c r="F182" s="20" t="str">
        <x:v>arxiv_stable_no_doi</x:v>
      </x:c>
      <x:c r="G182" s="20" t="str">
        <x:v>Open arXiv page; export BibTeX from arXiv or Zotero connector.</x:v>
      </x:c>
    </x:row>
    <x:row r="183">
      <x:c r="A183" s="20" t="str">
        <x:v>team2024_gemma_2_improving</x:v>
      </x:c>
      <x:c r="B183" s="20" t="str">
        <x:v>Gemma 2: Improving Open Language Models at a Practical Size</x:v>
      </x:c>
      <x:c r="C183" s="20" t="str"/>
      <x:c r="D183" s="20" t="str">
        <x:v>https://arxiv.org/abs/2408.00118</x:v>
      </x:c>
      <x:c r="E183" s="20" t="str">
        <x:v>arXiv</x:v>
      </x:c>
      <x:c r="F183" s="20" t="str">
        <x:v>arxiv_stable_no_doi</x:v>
      </x:c>
      <x:c r="G183" s="20" t="str">
        <x:v>Open arXiv page; export BibTeX from arXiv or Zotero connector.</x:v>
      </x:c>
    </x:row>
    <x:row r="184">
      <x:c r="A184" s="20" t="str">
        <x:v>jiang2023_mistral_7b</x:v>
      </x:c>
      <x:c r="B184" s="20" t="str">
        <x:v>Mistral 7B</x:v>
      </x:c>
      <x:c r="C184" s="20" t="str"/>
      <x:c r="D184" s="20" t="str">
        <x:v>https://arxiv.org/abs/2310.06825</x:v>
      </x:c>
      <x:c r="E184" s="20" t="str">
        <x:v>arXiv</x:v>
      </x:c>
      <x:c r="F184" s="20" t="str">
        <x:v>arxiv_stable_no_doi</x:v>
      </x:c>
      <x:c r="G184" s="20" t="str">
        <x:v>Open arXiv page; export BibTeX from arXiv or Zotero connector.</x:v>
      </x:c>
    </x:row>
    <x:row r="185">
      <x:c r="A185" s="20" t="str">
        <x:v>dettmers2023_qlora_efficient_finetuning</x:v>
      </x:c>
      <x:c r="B185" s="20" t="str">
        <x:v>QLoRA: Efficient Finetuning of Quantized LLMs</x:v>
      </x:c>
      <x:c r="C185" s="20" t="str"/>
      <x:c r="D185" s="20" t="str">
        <x:v>https://arxiv.org/abs/2305.14314</x:v>
      </x:c>
      <x:c r="E185" s="20" t="str">
        <x:v>arXiv</x:v>
      </x:c>
      <x:c r="F185" s="20" t="str">
        <x:v>arxiv_stable_no_doi</x:v>
      </x:c>
      <x:c r="G185" s="20" t="str">
        <x:v>Open arXiv page; export BibTeX from arXiv or Zotero connector.</x:v>
      </x:c>
    </x:row>
    <x:row r="186">
      <x:c r="A186" s="20" t="str">
        <x:v>dettmers2022_llm_int8_8</x:v>
      </x:c>
      <x:c r="B186" s="20" t="str">
        <x:v>LLM.int8(): 8-bit Matrix Multiplication for Transformers at Scale</x:v>
      </x:c>
      <x:c r="C186" s="20" t="str"/>
      <x:c r="D186" s="20" t="str">
        <x:v>https://arxiv.org/abs/2208.07339</x:v>
      </x:c>
      <x:c r="E186" s="20" t="str">
        <x:v>arXiv</x:v>
      </x:c>
      <x:c r="F186" s="20" t="str">
        <x:v>arxiv_stable_no_doi</x:v>
      </x:c>
      <x:c r="G186" s="20" t="str">
        <x:v>Open arXiv page; export BibTeX from arXiv or Zotero connector.</x:v>
      </x:c>
    </x:row>
    <x:row r="187">
      <x:c r="A187" s="20" t="str">
        <x:v>johnson2016_mimic_iii_freely</x:v>
      </x:c>
      <x:c r="B187" s="20" t="str">
        <x:v>MIMIC-III, A Freely Accessible Critical Care Database</x:v>
      </x:c>
      <x:c r="C187" s="20" t="str">
        <x:v>10.1038/sdata.2016.35</x:v>
      </x:c>
      <x:c r="D187" s="20" t="str">
        <x:v>https://www.nature.com/articles/sdata201635</x:v>
      </x:c>
      <x:c r="E187" s="20" t="str">
        <x:v>DOI</x:v>
      </x:c>
      <x:c r="F187" s="20" t="str">
        <x:v>doi_structurally_verified_from_source</x:v>
      </x:c>
      <x:c r="G187" s="20" t="str">
        <x:v>Run Crossref/Zotero DOI resolver; if mismatch, move to 00_To_Verify.</x:v>
      </x:c>
    </x:row>
    <x:row r="188">
      <x:c r="A188" s="20" t="str">
        <x:v>johnson2023_mimic_iv_freely</x:v>
      </x:c>
      <x:c r="B188" s="20" t="str">
        <x:v>MIMIC-IV, A Freely Accessible Electronic Health Record Dataset</x:v>
      </x:c>
      <x:c r="C188" s="20" t="str">
        <x:v>10.1038/s41597-022-01899-x</x:v>
      </x:c>
      <x:c r="D188" s="20" t="str">
        <x:v>https://www.nature.com/articles/s41597-022-01899-x</x:v>
      </x:c>
      <x:c r="E188" s="20" t="str">
        <x:v>DOI</x:v>
      </x:c>
      <x:c r="F188" s="20" t="str">
        <x:v>doi_structurally_verified_from_source</x:v>
      </x:c>
      <x:c r="G188" s="20" t="str">
        <x:v>Run Crossref/Zotero DOI resolver; if mismatch, move to 00_To_Verify.</x:v>
      </x:c>
    </x:row>
    <x:row r="189">
      <x:c r="A189" s="20" t="str">
        <x:v>irvin2019_chexpert_chest_radiograph</x:v>
      </x:c>
      <x:c r="B189" s="20" t="str">
        <x:v>CheXpert: A Large Chest Radiograph Dataset with Uncertainty Labels and Expert Comparison</x:v>
      </x:c>
      <x:c r="C189" s="20" t="str">
        <x:v>10.1609/aaai.v33i01.3301590</x:v>
      </x:c>
      <x:c r="D189" s="20" t="str">
        <x:v>https://ojs.aaai.org/index.php/AAAI/article/view/3834</x:v>
      </x:c>
      <x:c r="E189" s="20" t="str">
        <x:v>DOI</x:v>
      </x:c>
      <x:c r="F189" s="20" t="str">
        <x:v>doi_structurally_verified_from_source</x:v>
      </x:c>
      <x:c r="G189" s="20" t="str">
        <x:v>Run Crossref/Zotero DOI resolver; if mismatch, move to 00_To_Verify.</x:v>
      </x:c>
    </x:row>
    <x:row r="190">
      <x:c r="A190" s="20" t="str">
        <x:v>bustos2020_padchest_chest_x</x:v>
      </x:c>
      <x:c r="B190" s="20" t="str">
        <x:v>PadChest: A Large Chest X-Ray Image Dataset with Multi-label Annotated Reports</x:v>
      </x:c>
      <x:c r="C190" s="20" t="str">
        <x:v>10.1016/j.media.2020.101797</x:v>
      </x:c>
      <x:c r="D190" s="20" t="str">
        <x:v>https://doi.org/10.1016/j.media.2020.101797</x:v>
      </x:c>
      <x:c r="E190" s="20" t="str">
        <x:v>DOI</x:v>
      </x:c>
      <x:c r="F190" s="20" t="str">
        <x:v>doi_structurally_verified_from_source</x:v>
      </x:c>
      <x:c r="G190" s="20" t="str">
        <x:v>Run Crossref/Zotero DOI resolver; if mismatch, move to 00_To_Verify.</x:v>
      </x:c>
    </x:row>
    <x:row r="191">
      <x:c r="A191" s="20" t="str">
        <x:v>demnerfushman2016_preparing_collection_radiology</x:v>
      </x:c>
      <x:c r="B191" s="20" t="str">
        <x:v>Preparing a Collection of Radiology Examinations for Distribution and Retrieval</x:v>
      </x:c>
      <x:c r="C191" s="20" t="str">
        <x:v>10.1093/jamia/ocv080</x:v>
      </x:c>
      <x:c r="D191" s="20" t="str">
        <x:v>https://academic.oup.com/jamia/article/23/2/304/2379821</x:v>
      </x:c>
      <x:c r="E191" s="20" t="str">
        <x:v>DOI</x:v>
      </x:c>
      <x:c r="F191" s="20" t="str">
        <x:v>doi_structurally_verified_from_source</x:v>
      </x:c>
      <x:c r="G191" s="20" t="str">
        <x:v>Run Crossref/Zotero DOI resolver; if mismatch, move to 00_To_Verify.</x:v>
      </x:c>
    </x:row>
    <x:row r="192">
      <x:c r="A192" s="20" t="str">
        <x:v>uzuner2011_2010_i2b2_va</x:v>
      </x:c>
      <x:c r="B192" s="20" t="str">
        <x:v>2010 i2b2/VA Challenge on Concepts, Assertions, and Relations in Clinical Text</x:v>
      </x:c>
      <x:c r="C192" s="20" t="str">
        <x:v>10.1136/amiajnl-2011-000203</x:v>
      </x:c>
      <x:c r="D192" s="20" t="str">
        <x:v>https://academic.oup.com/jamia/article/18/5/552/829599</x:v>
      </x:c>
      <x:c r="E192" s="20" t="str">
        <x:v>DOI</x:v>
      </x:c>
      <x:c r="F192" s="20" t="str">
        <x:v>doi_structurally_verified_from_source</x:v>
      </x:c>
      <x:c r="G192" s="20" t="str">
        <x:v>Run Crossref/Zotero DOI resolver; if mismatch, move to 00_To_Verify.</x:v>
      </x:c>
    </x:row>
    <x:row r="193">
      <x:c r="A193" s="20" t="str">
        <x:v>uzuner2007_evaluating_state_art</x:v>
      </x:c>
      <x:c r="B193" s="20" t="str">
        <x:v>Evaluating the State-of-the-Art in Automatic De-identification</x:v>
      </x:c>
      <x:c r="C193" s="20" t="str">
        <x:v>10.1197/jamia.M2444</x:v>
      </x:c>
      <x:c r="D193" s="20" t="str">
        <x:v>https://academic.oup.com/jamia/article/14/5/550/790429</x:v>
      </x:c>
      <x:c r="E193" s="20" t="str">
        <x:v>DOI</x:v>
      </x:c>
      <x:c r="F193" s="20" t="str">
        <x:v>doi_present_needs_crossref_check</x:v>
      </x:c>
      <x:c r="G193" s="20" t="str">
        <x:v>Run Crossref/Zotero DOI resolver; if mismatch, move to 00_To_Verify.</x:v>
      </x:c>
    </x:row>
    <x:row r="194">
      <x:c r="A194" s="20" t="str">
        <x:v>henry2020_2018_n2c2_shared</x:v>
      </x:c>
      <x:c r="B194" s="20" t="str">
        <x:v>2018 n2c2 Shared Task on Adverse Drug Events and Medication Extraction in Electronic Health Records</x:v>
      </x:c>
      <x:c r="C194" s="20" t="str">
        <x:v>10.1093/jamia/ocz166</x:v>
      </x:c>
      <x:c r="D194" s="20" t="str">
        <x:v>https://academic.oup.com/jamia/article/27/1/3/5580141</x:v>
      </x:c>
      <x:c r="E194" s="20" t="str">
        <x:v>DOI</x:v>
      </x:c>
      <x:c r="F194" s="20" t="str">
        <x:v>doi_structurally_verified_from_source</x:v>
      </x:c>
      <x:c r="G194" s="20" t="str">
        <x:v>Run Crossref/Zotero DOI resolver; if mismatch, move to 00_To_Verify.</x:v>
      </x:c>
    </x:row>
    <x:row r="195">
      <x:c r="A195" s="20" t="str">
        <x:v>soysal2018_clamp_toolkit_efficiently</x:v>
      </x:c>
      <x:c r="B195" s="20" t="str">
        <x:v>CLAMP: A Toolkit for Efficiently Building Customized Clinical Natural Language Processing Pipelines</x:v>
      </x:c>
      <x:c r="C195" s="20" t="str">
        <x:v>10.1093/jamia/ocx132</x:v>
      </x:c>
      <x:c r="D195" s="20" t="str">
        <x:v>https://academic.oup.com/jamia/article/25/3/331/4645808</x:v>
      </x:c>
      <x:c r="E195" s="20" t="str">
        <x:v>DOI</x:v>
      </x:c>
      <x:c r="F195" s="20" t="str">
        <x:v>doi_structurally_verified_from_source</x:v>
      </x:c>
      <x:c r="G195" s="20" t="str">
        <x:v>Run Crossref/Zotero DOI resolver; if mismatch, move to 00_To_Verify.</x:v>
      </x:c>
    </x:row>
    <x:row r="196">
      <x:c r="A196" s="20" t="str">
        <x:v>savova2010_mayo_clinical_text</x:v>
      </x:c>
      <x:c r="B196" s="20" t="str">
        <x:v>Mayo Clinical Text Analysis and Knowledge Extraction System (cTAKES): Architecture, Component Evaluation and Applications</x:v>
      </x:c>
      <x:c r="C196" s="20" t="str">
        <x:v>10.1136/jamia.2009.001560</x:v>
      </x:c>
      <x:c r="D196" s="20" t="str">
        <x:v>https://academic.oup.com/jamia/article/17/5/507/830823</x:v>
      </x:c>
      <x:c r="E196" s="20" t="str">
        <x:v>DOI</x:v>
      </x:c>
      <x:c r="F196" s="20" t="str">
        <x:v>doi_structurally_verified_from_source</x:v>
      </x:c>
      <x:c r="G196" s="20" t="str">
        <x:v>Run Crossref/Zotero DOI resolver; if mismatch, move to 00_To_Verify.</x:v>
      </x:c>
    </x:row>
    <x:row r="197">
      <x:c r="A197" s="20" t="str">
        <x:v>aronson2010_overview_metamap_historical</x:v>
      </x:c>
      <x:c r="B197" s="20" t="str">
        <x:v>An Overview of MetaMap: Historical Perspective and Recent Advances</x:v>
      </x:c>
      <x:c r="C197" s="20" t="str">
        <x:v>10.1136/jamia.2009.002733</x:v>
      </x:c>
      <x:c r="D197" s="20" t="str">
        <x:v>https://academic.oup.com/jamia/article/17/3/229/830689</x:v>
      </x:c>
      <x:c r="E197" s="20" t="str">
        <x:v>DOI</x:v>
      </x:c>
      <x:c r="F197" s="20" t="str">
        <x:v>doi_structurally_verified_from_source</x:v>
      </x:c>
      <x:c r="G197" s="20" t="str">
        <x:v>Run Crossref/Zotero DOI resolver; if mismatch, move to 00_To_Verify.</x:v>
      </x:c>
    </x:row>
    <x:row r="198">
      <x:c r="A198" s="20" t="str">
        <x:v>luo2022_natural_language_processing</x:v>
      </x:c>
      <x:c r="B198" s="20" t="str">
        <x:v>Natural Language Processing for EHR-Based Computational Phenotyping</x:v>
      </x:c>
      <x:c r="C198" s="20" t="str">
        <x:v>10.1109/TCBB.2020.3014350</x:v>
      </x:c>
      <x:c r="D198" s="20" t="str">
        <x:v>https://doi.org/10.1109/TCBB.2020.3014350</x:v>
      </x:c>
      <x:c r="E198" s="20" t="str">
        <x:v>DOI</x:v>
      </x:c>
      <x:c r="F198" s="20" t="str">
        <x:v>doi_present_needs_crossref_check</x:v>
      </x:c>
      <x:c r="G198" s="20" t="str">
        <x:v>Run Crossref/Zotero DOI resolver; if mismatch, move to 00_To_Verify.</x:v>
      </x:c>
    </x:row>
    <x:row r="199">
      <x:c r="A199" s="20" t="str">
        <x:v>wang2018_clinical_information_extraction</x:v>
      </x:c>
      <x:c r="B199" s="20" t="str">
        <x:v>Clinical Information Extraction Applications: A Literature Review</x:v>
      </x:c>
      <x:c r="C199" s="20" t="str">
        <x:v>10.1016/j.jbi.2017.11.011</x:v>
      </x:c>
      <x:c r="D199" s="20" t="str">
        <x:v>https://www.sciencedirect.com/science/article/pii/S1532046417302563</x:v>
      </x:c>
      <x:c r="E199" s="20" t="str">
        <x:v>DOI</x:v>
      </x:c>
      <x:c r="F199" s="20" t="str">
        <x:v>doi_structurally_verified_from_source</x:v>
      </x:c>
      <x:c r="G199" s="20" t="str">
        <x:v>Run Crossref/Zotero DOI resolver; if mismatch, move to 00_To_Verify.</x:v>
      </x:c>
    </x:row>
    <x:row r="200">
      <x:c r="A200" s="20" t="str">
        <x:v>jensen2012_mining_electronic_health</x:v>
      </x:c>
      <x:c r="B200" s="20" t="str">
        <x:v>Mining Electronic Health Records: Towards Better Research Applications and Clinical Care</x:v>
      </x:c>
      <x:c r="C200" s="20" t="str">
        <x:v>10.1038/nrg3208</x:v>
      </x:c>
      <x:c r="D200" s="20" t="str">
        <x:v>https://www.nature.com/articles/nrg3208</x:v>
      </x:c>
      <x:c r="E200" s="20" t="str">
        <x:v>DOI</x:v>
      </x:c>
      <x:c r="F200" s="20" t="str">
        <x:v>doi_structurally_verified_from_source</x:v>
      </x:c>
      <x:c r="G200" s="20" t="str">
        <x:v>Run Crossref/Zotero DOI resolver; if mismatch, move to 00_To_Verify.</x:v>
      </x:c>
    </x:row>
    <x:row r="201">
      <x:c r="A201" s="20" t="str">
        <x:v>shickel2018_deep_ehr_recent</x:v>
      </x:c>
      <x:c r="B201" s="20" t="str">
        <x:v>Deep EHR: A Survey of Recent Advances in Deep Learning Techniques for Electronic Health Record Analysis</x:v>
      </x:c>
      <x:c r="C201" s="20" t="str">
        <x:v>10.1109/JBHI.2017.2767063</x:v>
      </x:c>
      <x:c r="D201" s="20" t="str">
        <x:v>https://doi.org/10.1109/JBHI.2017.2767063</x:v>
      </x:c>
      <x:c r="E201" s="20" t="str">
        <x:v>DOI</x:v>
      </x:c>
      <x:c r="F201" s="20" t="str">
        <x:v>doi_present_needs_crossref_check</x:v>
      </x:c>
      <x:c r="G201" s="20" t="str">
        <x:v>Run Crossref/Zotero DOI resolver; if mismatch, move to 00_To_Verify.</x:v>
      </x:c>
    </x:row>
    <x:row r="202">
      <x:c r="A202" s="20" t="str">
        <x:v>wallace2016_extracting_pico_sentences</x:v>
      </x:c>
      <x:c r="B202" s="20" t="str">
        <x:v>Extracting PICO Sentences from Clinical Trial Reports Using Supervised Distant Supervision</x:v>
      </x:c>
      <x:c r="C202" s="20" t="str"/>
      <x:c r="D202" s="20" t="str">
        <x:v>https://jmlr.org/papers/v17/15-231.html</x:v>
      </x:c>
      <x:c r="E202" s="20" t="str">
        <x:v>URL</x:v>
      </x:c>
      <x:c r="F202" s="20" t="str">
        <x:v>url_stable_no_doi</x:v>
      </x:c>
      <x:c r="G202" s="20" t="str">
        <x:v>Open publisher/repository URL; verify metadata manually.</x:v>
      </x:c>
    </x:row>
    <x:row r="203">
      <x:c r="A203" s="20" t="str">
        <x:v>marshall2015_automating_risk_bias</x:v>
      </x:c>
      <x:c r="B203" s="20" t="str">
        <x:v>Automating Risk of Bias Assessment for Clinical Trials</x:v>
      </x:c>
      <x:c r="C203" s="20" t="str">
        <x:v>10.1145/2649387.2649444</x:v>
      </x:c>
      <x:c r="D203" s="20" t="str">
        <x:v>https://doi.org/10.1145/2649387.2649444</x:v>
      </x:c>
      <x:c r="E203" s="20" t="str">
        <x:v>DOI</x:v>
      </x:c>
      <x:c r="F203" s="20" t="str">
        <x:v>doi_structurally_verified_from_source</x:v>
      </x:c>
      <x:c r="G203" s="20" t="str">
        <x:v>Run Crossref/Zotero DOI resolver; if mismatch, move to 00_To_Verify.</x:v>
      </x:c>
    </x:row>
    <x:row r="204">
      <x:c r="A204" s="20" t="str">
        <x:v>lehman2019_inferring_which_medical</x:v>
      </x:c>
      <x:c r="B204" s="20" t="str">
        <x:v>Inferring Which Medical Treatments Work from Reports of Clinical Trials</x:v>
      </x:c>
      <x:c r="C204" s="20" t="str">
        <x:v>10.18653/v1/N19-1371</x:v>
      </x:c>
      <x:c r="D204" s="20" t="str">
        <x:v>https://aclanthology.org/N19-1371/</x:v>
      </x:c>
      <x:c r="E204" s="20" t="str">
        <x:v>DOI</x:v>
      </x:c>
      <x:c r="F204" s="20" t="str">
        <x:v>doi_structurally_verified_from_source</x:v>
      </x:c>
      <x:c r="G204" s="20" t="str">
        <x:v>Run Crossref/Zotero DOI resolver; if mismatch, move to 00_To_Verify.</x:v>
      </x:c>
    </x:row>
    <x:row r="205">
      <x:c r="A205" s="20" t="str">
        <x:v>wallace2012_deploying_interactive_machine</x:v>
      </x:c>
      <x:c r="B205" s="20" t="str">
        <x:v>Deploying an Interactive Machine Learning System in an Evidence-based Practice Center</x:v>
      </x:c>
      <x:c r="C205" s="20" t="str">
        <x:v>10.1145/2110363.2110397</x:v>
      </x:c>
      <x:c r="D205" s="20" t="str">
        <x:v>https://doi.org/10.1145/2110363.2110397</x:v>
      </x:c>
      <x:c r="E205" s="20" t="str">
        <x:v>DOI</x:v>
      </x:c>
      <x:c r="F205" s="20" t="str">
        <x:v>doi_structurally_verified_from_source</x:v>
      </x:c>
      <x:c r="G205" s="20" t="str">
        <x:v>Run Crossref/Zotero DOI resolver; if mismatch, move to 00_To_Verify.</x:v>
      </x:c>
    </x:row>
    <x:row r="206">
      <x:c r="A206" s="20" t="str">
        <x:v>mishra2014_text_summarization_biomedical</x:v>
      </x:c>
      <x:c r="B206" s="20" t="str">
        <x:v>Text Summarization in the Biomedical Domain: A Systematic Review of Recent Research</x:v>
      </x:c>
      <x:c r="C206" s="20" t="str">
        <x:v>10.1016/j.jbi.2014.06.009</x:v>
      </x:c>
      <x:c r="D206" s="20" t="str">
        <x:v>https://www.sciencedirect.com/science/article/pii/S1532046414001253</x:v>
      </x:c>
      <x:c r="E206" s="20" t="str">
        <x:v>DOI</x:v>
      </x:c>
      <x:c r="F206" s="20" t="str">
        <x:v>doi_structurally_verified_from_source</x:v>
      </x:c>
      <x:c r="G206" s="20" t="str">
        <x:v>Run Crossref/Zotero DOI resolver; if mismatch, move to 00_To_Verify.</x:v>
      </x:c>
    </x:row>
    <x:row r="207">
      <x:c r="A207" s="20" t="str">
        <x:v>afantenos2005_summarization_medical_documents</x:v>
      </x:c>
      <x:c r="B207" s="20" t="str">
        <x:v>Summarization from Medical Documents: A Survey</x:v>
      </x:c>
      <x:c r="C207" s="20" t="str">
        <x:v>10.1016/j.artmed.2004.07.017</x:v>
      </x:c>
      <x:c r="D207" s="20" t="str">
        <x:v>https://doi.org/10.1016/j.artmed.2004.07.017</x:v>
      </x:c>
      <x:c r="E207" s="20" t="str">
        <x:v>DOI</x:v>
      </x:c>
      <x:c r="F207" s="20" t="str">
        <x:v>doi_structurally_verified_from_source</x:v>
      </x:c>
      <x:c r="G207" s="20" t="str">
        <x:v>Run Crossref/Zotero DOI resolver; if mismatch, move to 00_To_Verify.</x:v>
      </x:c>
    </x:row>
    <x:row r="208">
      <x:c r="A208" s="20" t="str">
        <x:v>demnerfushman2007_answering_clinical_questions</x:v>
      </x:c>
      <x:c r="B208" s="20" t="str">
        <x:v>Answering Clinical Questions with Knowledge-Based and Statistical Techniques</x:v>
      </x:c>
      <x:c r="C208" s="20" t="str">
        <x:v>10.1162/coli.2007.33.1.63</x:v>
      </x:c>
      <x:c r="D208" s="20" t="str">
        <x:v>https://aclanthology.org/J07-1003/</x:v>
      </x:c>
      <x:c r="E208" s="20" t="str">
        <x:v>DOI</x:v>
      </x:c>
      <x:c r="F208" s="20" t="str">
        <x:v>doi_structurally_verified_from_source</x:v>
      </x:c>
      <x:c r="G208" s="20" t="str">
        <x:v>Run Crossref/Zotero DOI resolver; if mismatch, move to 00_To_Verify.</x:v>
      </x:c>
    </x:row>
    <x:row r="209">
      <x:c r="A209" s="20" t="str">
        <x:v>nallapati2016_abstractive_text_summarization</x:v>
      </x:c>
      <x:c r="B209" s="20" t="str">
        <x:v>Abstractive Text Summarization Using Sequence-to-Sequence RNNs and Beyond</x:v>
      </x:c>
      <x:c r="C209" s="20" t="str">
        <x:v>10.18653/v1/K16-1028</x:v>
      </x:c>
      <x:c r="D209" s="20" t="str">
        <x:v>https://aclanthology.org/K16-1028/</x:v>
      </x:c>
      <x:c r="E209" s="20" t="str">
        <x:v>DOI</x:v>
      </x:c>
      <x:c r="F209" s="20" t="str">
        <x:v>doi_structurally_verified_from_source</x:v>
      </x:c>
      <x:c r="G209" s="20" t="str">
        <x:v>Run Crossref/Zotero DOI resolver; if mismatch, move to 00_To_Verify.</x:v>
      </x:c>
    </x:row>
    <x:row r="210">
      <x:c r="A210" s="20" t="str">
        <x:v>see2017_get_point_summarization</x:v>
      </x:c>
      <x:c r="B210" s="20" t="str">
        <x:v>Get To The Point: Summarization with Pointer-Generator Networks</x:v>
      </x:c>
      <x:c r="C210" s="20" t="str">
        <x:v>10.18653/v1/P17-1099</x:v>
      </x:c>
      <x:c r="D210" s="20" t="str">
        <x:v>https://aclanthology.org/P17-1099/</x:v>
      </x:c>
      <x:c r="E210" s="20" t="str">
        <x:v>DOI</x:v>
      </x:c>
      <x:c r="F210" s="20" t="str">
        <x:v>doi_structurally_verified_from_source</x:v>
      </x:c>
      <x:c r="G210" s="20" t="str">
        <x:v>Run Crossref/Zotero DOI resolver; if mismatch, move to 00_To_Verify.</x:v>
      </x:c>
    </x:row>
    <x:row r="211">
      <x:c r="A211" s="20" t="str">
        <x:v>narayan2018_don_t_give</x:v>
      </x:c>
      <x:c r="B211" s="20" t="str">
        <x:v>Don't Give Me the Details, Just the Summary! Topic-Aware Convolutional Neural Networks for Extreme Summarization</x:v>
      </x:c>
      <x:c r="C211" s="20" t="str">
        <x:v>10.18653/v1/D18-1206</x:v>
      </x:c>
      <x:c r="D211" s="20" t="str">
        <x:v>https://aclanthology.org/D18-1206/</x:v>
      </x:c>
      <x:c r="E211" s="20" t="str">
        <x:v>DOI</x:v>
      </x:c>
      <x:c r="F211" s="20" t="str">
        <x:v>doi_structurally_verified_from_source</x:v>
      </x:c>
      <x:c r="G211" s="20" t="str">
        <x:v>Run Crossref/Zotero DOI resolver; if mismatch, move to 00_To_Verify.</x:v>
      </x:c>
    </x:row>
    <x:row r="212">
      <x:c r="A212" s="20" t="str">
        <x:v>grusky2018_newsroom_1_3</x:v>
      </x:c>
      <x:c r="B212" s="20" t="str">
        <x:v>Newsroom: A Dataset of 1.3 Million Summaries with Diverse Extractive Strategies</x:v>
      </x:c>
      <x:c r="C212" s="20" t="str">
        <x:v>10.18653/v1/N18-1065</x:v>
      </x:c>
      <x:c r="D212" s="20" t="str">
        <x:v>https://aclanthology.org/N18-1065/</x:v>
      </x:c>
      <x:c r="E212" s="20" t="str">
        <x:v>DOI</x:v>
      </x:c>
      <x:c r="F212" s="20" t="str">
        <x:v>doi_structurally_verified_from_source</x:v>
      </x:c>
      <x:c r="G212" s="20" t="str">
        <x:v>Run Crossref/Zotero DOI resolver; if mismatch, move to 00_To_Verify.</x:v>
      </x:c>
    </x:row>
    <x:row r="213">
      <x:c r="A213" s="20" t="str">
        <x:v>zhang2020_pegasus_pre_training</x:v>
      </x:c>
      <x:c r="B213" s="20" t="str">
        <x:v>PEGASUS: Pre-training with Extracted Gap-sentences for Abstractive Summarization</x:v>
      </x:c>
      <x:c r="C213" s="20" t="str"/>
      <x:c r="D213" s="20" t="str">
        <x:v>https://proceedings.mlr.press/v119/zhang20ae.html</x:v>
      </x:c>
      <x:c r="E213" s="20" t="str">
        <x:v>arXiv</x:v>
      </x:c>
      <x:c r="F213" s="20" t="str">
        <x:v>arxiv_stable_no_doi</x:v>
      </x:c>
      <x:c r="G213" s="20" t="str">
        <x:v>Open arXiv page; export BibTeX from arXiv or Zotero connector.</x:v>
      </x:c>
    </x:row>
    <x:row r="214">
      <x:c r="A214" s="20" t="str">
        <x:v>gidiotis2020_divide_conquer_summarization</x:v>
      </x:c>
      <x:c r="B214" s="20" t="str">
        <x:v>A Divide-and-Conquer Approach to the Summarization of Long Documents</x:v>
      </x:c>
      <x:c r="C214" s="20" t="str">
        <x:v>10.1109/TASLP.2020.2975938</x:v>
      </x:c>
      <x:c r="D214" s="20" t="str">
        <x:v>https://doi.org/10.1109/TASLP.2020.2975938</x:v>
      </x:c>
      <x:c r="E214" s="20" t="str">
        <x:v>DOI</x:v>
      </x:c>
      <x:c r="F214" s="20" t="str">
        <x:v>doi_present_needs_crossref_check</x:v>
      </x:c>
      <x:c r="G214" s="20" t="str">
        <x:v>Run Crossref/Zotero DOI resolver; if mismatch, move to 00_To_Verify.</x:v>
      </x:c>
    </x:row>
    <x:row r="215">
      <x:c r="A215" s="20" t="str">
        <x:v>cohan2018_discourse_aware_attention</x:v>
      </x:c>
      <x:c r="B215" s="20" t="str">
        <x:v>A Discourse-Aware Attention Model for Abstractive Summarization of Long Documents</x:v>
      </x:c>
      <x:c r="C215" s="20" t="str">
        <x:v>10.18653/v1/N18-2097</x:v>
      </x:c>
      <x:c r="D215" s="20" t="str">
        <x:v>https://aclanthology.org/N18-2097/</x:v>
      </x:c>
      <x:c r="E215" s="20" t="str">
        <x:v>DOI</x:v>
      </x:c>
      <x:c r="F215" s="20" t="str">
        <x:v>doi_structurally_verified_from_source</x:v>
      </x:c>
      <x:c r="G215" s="20" t="str">
        <x:v>Run Crossref/Zotero DOI resolver; if mismatch, move to 00_To_Verify.</x:v>
      </x:c>
    </x:row>
    <x:row r="216">
      <x:c r="A216" s="20" t="str">
        <x:v>sotudeh2019_generating_extended_summaries</x:v>
      </x:c>
      <x:c r="B216" s="20" t="str">
        <x:v>On Generating Extended Summaries of Long Documents</x:v>
      </x:c>
      <x:c r="C216" s="20" t="str">
        <x:v>10.18653/v1/D19-5520</x:v>
      </x:c>
      <x:c r="D216" s="20" t="str">
        <x:v>https://aclanthology.org/D19-5520/</x:v>
      </x:c>
      <x:c r="E216" s="20" t="str">
        <x:v>DOI</x:v>
      </x:c>
      <x:c r="F216" s="20" t="str">
        <x:v>doi_structurally_verified_from_source</x:v>
      </x:c>
      <x:c r="G216" s="20" t="str">
        <x:v>Run Crossref/Zotero DOI resolver; if mismatch, move to 00_To_Verify.</x:v>
      </x:c>
    </x:row>
  </x:sheetData>
  <x:conditionalFormatting sqref="F2:F300">
    <x:cfRule type="expression" dxfId="0" priority="1">
      <x:formula>ISNUMBER(SEARCH("needs",F2))</x:formula>
    </x:cfRule>
    <x:cfRule type="expression" dxfId="1" priority="2">
      <x:formula>ISNUMBER(SEARCH("verified",F2))</x:formula>
    </x:cfRule>
  </x:conditionalFormatting>
  <x:pageMargins left="0.7" right="0.7" top="0.75" bottom="0.75" header="0.3" footer="0.3"/>
  <x:tableParts count="1">
    <x:tablePart xmlns:r="http://schemas.openxmlformats.org/officeDocument/2006/relationships" r:id="Re94ebfe1923647c3"/>
  </x:tableParts>
</x:worksheet>
</file>

<file path=xl/worksheets/sheet4.xml><?xml version="1.0" encoding="utf-8"?>
<x:worksheet xmlns:x="http://schemas.openxmlformats.org/spreadsheetml/2006/main">
  <x:sheetFormatPr defaultRowHeight="15"/>
  <x:cols>
    <x:col min="1" max="1" width="22" hidden="0" customWidth="1"/>
    <x:col min="2" max="2" width="16" hidden="0" customWidth="1"/>
    <x:col min="3" max="3" width="3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s>
  <x:sheetData>
    <x:row r="1">
      <x:c r="A1" s="24" t="str">
        <x:v>citekey</x:v>
      </x:c>
      <x:c r="B1" s="24" t="str">
        <x:v>year</x:v>
      </x:c>
      <x:c r="C1" s="24" t="str">
        <x:v>title</x:v>
      </x:c>
      <x:c r="D1" s="24" t="str">
        <x:v>category</x:v>
      </x:c>
      <x:c r="E1" s="24" t="str">
        <x:v>NLI</x:v>
      </x:c>
      <x:c r="F1" s="24" t="str">
        <x:v>QA</x:v>
      </x:c>
      <x:c r="G1" s="24" t="str">
        <x:v>alignment</x:v>
      </x:c>
      <x:c r="H1" s="24" t="str">
        <x:v>atomic_facts</x:v>
      </x:c>
      <x:c r="I1" s="24" t="str">
        <x:v>attribution</x:v>
      </x:c>
      <x:c r="J1" s="24" t="str">
        <x:v>benchmark</x:v>
      </x:c>
      <x:c r="K1" s="24" t="str">
        <x:v>classifier</x:v>
      </x:c>
      <x:c r="L1" s="24" t="str">
        <x:v>constraint</x:v>
      </x:c>
      <x:c r="M1" s="24" t="str">
        <x:v>context</x:v>
      </x:c>
      <x:c r="N1" s="24" t="str">
        <x:v>copy_mechanism</x:v>
      </x:c>
      <x:c r="O1" s="24" t="str">
        <x:v>entity_preservation</x:v>
      </x:c>
      <x:c r="P1" s="24" t="str">
        <x:v>graph_grounding</x:v>
      </x:c>
      <x:c r="Q1" s="24" t="str">
        <x:v>human_eval</x:v>
      </x:c>
      <x:c r="R1" s="24" t="str">
        <x:v>knowledge_aware</x:v>
      </x:c>
      <x:c r="S1" s="24" t="str">
        <x:v>lexical</x:v>
      </x:c>
      <x:c r="T1" s="24" t="str">
        <x:v>lexical_constraint</x:v>
      </x:c>
      <x:c r="U1" s="24" t="str">
        <x:v>logic_constraint</x:v>
      </x:c>
      <x:c r="V1" s="24" t="str">
        <x:v>metric</x:v>
      </x:c>
      <x:c r="W1" s="24" t="str">
        <x:v>none</x:v>
      </x:c>
      <x:c r="X1" s="24" t="str">
        <x:v>ontology</x:v>
      </x:c>
      <x:c r="Y1" s="24" t="str">
        <x:v>relations</x:v>
      </x:c>
      <x:c r="Z1" s="24" t="str">
        <x:v>retrieval_grounding</x:v>
      </x:c>
      <x:c r="AA1" s="24" t="str">
        <x:v>retrieval_nli</x:v>
      </x:c>
      <x:c r="AB1" s="24" t="str">
        <x:v>sampling_consistency</x:v>
      </x:c>
      <x:c r="AC1" s="24" t="str">
        <x:v>semantic</x:v>
      </x:c>
      <x:c r="AD1" s="24" t="str">
        <x:v>semantic_similarity</x:v>
      </x:c>
      <x:c r="AE1" s="24" t="str">
        <x:v>survey</x:v>
      </x:c>
    </x:row>
    <x:row r="2">
      <x:c r="A2" s="20" t="str">
        <x:v>basu2023_med_easi_finely</x:v>
      </x:c>
      <x:c r="B2" s="20" t="str">
        <x:v>2023</x:v>
      </x:c>
      <x:c r="C2" s="20" t="str">
        <x:v>Med-EASi: Finely Annotated Dataset and Models for Controllable Simplification of Medical Texts</x:v>
      </x:c>
      <x:c r="D2" s="20" t="str">
        <x:v>01_Core_Clinical_TS</x:v>
      </x:c>
      <x:c r="E2" s="20" t="str">
        <x:v>0</x:v>
      </x:c>
      <x:c r="F2" s="20" t="str">
        <x:v>0</x:v>
      </x:c>
      <x:c r="G2" s="20" t="str">
        <x:v>0</x:v>
      </x:c>
      <x:c r="H2" s="20" t="str">
        <x:v>0</x:v>
      </x:c>
      <x:c r="I2" s="20" t="str">
        <x:v>0</x:v>
      </x:c>
      <x:c r="J2" s="20" t="str">
        <x:v>0</x:v>
      </x:c>
      <x:c r="K2" s="20" t="str">
        <x:v>0</x:v>
      </x:c>
      <x:c r="L2" s="20" t="str">
        <x:v>0</x:v>
      </x:c>
      <x:c r="M2" s="20" t="str">
        <x:v>0</x:v>
      </x:c>
      <x:c r="N2" s="20" t="str">
        <x:v>0</x:v>
      </x:c>
      <x:c r="O2" s="20" t="str">
        <x:v>0</x:v>
      </x:c>
      <x:c r="P2" s="20" t="str">
        <x:v>0</x:v>
      </x:c>
      <x:c r="Q2" s="20" t="str">
        <x:v>1</x:v>
      </x:c>
      <x:c r="R2" s="20" t="str">
        <x:v>0</x:v>
      </x:c>
      <x:c r="S2" s="20" t="str">
        <x:v>0</x:v>
      </x:c>
      <x:c r="T2" s="20" t="str">
        <x:v>0</x:v>
      </x:c>
      <x:c r="U2" s="20" t="str">
        <x:v>0</x:v>
      </x:c>
      <x:c r="V2" s="20" t="str">
        <x:v>0</x:v>
      </x:c>
      <x:c r="W2" s="20" t="str">
        <x:v>0</x:v>
      </x:c>
      <x:c r="X2" s="20" t="str">
        <x:v>0</x:v>
      </x:c>
      <x:c r="Y2" s="20" t="str">
        <x:v>0</x:v>
      </x:c>
      <x:c r="Z2" s="20" t="str">
        <x:v>0</x:v>
      </x:c>
      <x:c r="AA2" s="20" t="str">
        <x:v>0</x:v>
      </x:c>
      <x:c r="AB2" s="20" t="str">
        <x:v>0</x:v>
      </x:c>
      <x:c r="AC2" s="20" t="str">
        <x:v>0</x:v>
      </x:c>
      <x:c r="AD2" s="20" t="str">
        <x:v>0</x:v>
      </x:c>
      <x:c r="AE2" s="20" t="str">
        <x:v>0</x:v>
      </x:c>
    </x:row>
    <x:row r="3">
      <x:c r="A3" s="20" t="str">
        <x:v>horiguchi2025_multimsd_multilingual_medical</x:v>
      </x:c>
      <x:c r="B3" s="20" t="str">
        <x:v>2025</x:v>
      </x:c>
      <x:c r="C3" s="20" t="str">
        <x:v>MultiMSD: A Corpus for Multilingual Medical Text Simplification from Online Medical References</x:v>
      </x:c>
      <x:c r="D3" s="20" t="str">
        <x:v>01_Core_Clinical_TS</x:v>
      </x:c>
      <x:c r="E3" s="20" t="str">
        <x:v>0</x:v>
      </x:c>
      <x:c r="F3" s="20" t="str">
        <x:v>0</x:v>
      </x:c>
      <x:c r="G3" s="20" t="str">
        <x:v>0</x:v>
      </x:c>
      <x:c r="H3" s="20" t="str">
        <x:v>0</x:v>
      </x:c>
      <x:c r="I3" s="20" t="str">
        <x:v>0</x:v>
      </x:c>
      <x:c r="J3" s="20" t="str">
        <x:v>0</x:v>
      </x:c>
      <x:c r="K3" s="20" t="str">
        <x:v>0</x:v>
      </x:c>
      <x:c r="L3" s="20" t="str">
        <x:v>0</x:v>
      </x:c>
      <x:c r="M3" s="20" t="str">
        <x:v>0</x:v>
      </x:c>
      <x:c r="N3" s="20" t="str">
        <x:v>0</x:v>
      </x:c>
      <x:c r="O3" s="20" t="str">
        <x:v>0</x:v>
      </x:c>
      <x:c r="P3" s="20" t="str">
        <x:v>0</x:v>
      </x:c>
      <x:c r="Q3" s="20" t="str">
        <x:v>1</x:v>
      </x:c>
      <x:c r="R3" s="20" t="str">
        <x:v>0</x:v>
      </x:c>
      <x:c r="S3" s="20" t="str">
        <x:v>0</x:v>
      </x:c>
      <x:c r="T3" s="20" t="str">
        <x:v>0</x:v>
      </x:c>
      <x:c r="U3" s="20" t="str">
        <x:v>0</x:v>
      </x:c>
      <x:c r="V3" s="20" t="str">
        <x:v>0</x:v>
      </x:c>
      <x:c r="W3" s="20" t="str">
        <x:v>0</x:v>
      </x:c>
      <x:c r="X3" s="20" t="str">
        <x:v>0</x:v>
      </x:c>
      <x:c r="Y3" s="20" t="str">
        <x:v>0</x:v>
      </x:c>
      <x:c r="Z3" s="20" t="str">
        <x:v>0</x:v>
      </x:c>
      <x:c r="AA3" s="20" t="str">
        <x:v>0</x:v>
      </x:c>
      <x:c r="AB3" s="20" t="str">
        <x:v>0</x:v>
      </x:c>
      <x:c r="AC3" s="20" t="str">
        <x:v>0</x:v>
      </x:c>
      <x:c r="AD3" s="20" t="str">
        <x:v>0</x:v>
      </x:c>
      <x:c r="AE3" s="20" t="str">
        <x:v>0</x:v>
      </x:c>
    </x:row>
    <x:row r="4">
      <x:c r="A4" s="20" t="str">
        <x:v>joseph2023_multilingual_simplification_medical</x:v>
      </x:c>
      <x:c r="B4" s="20" t="str">
        <x:v>2023</x:v>
      </x:c>
      <x:c r="C4" s="20" t="str">
        <x:v>Multilingual Simplification of Medical Texts</x:v>
      </x:c>
      <x:c r="D4" s="20" t="str">
        <x:v>01_Core_Clinical_TS</x:v>
      </x:c>
      <x:c r="E4" s="20" t="str">
        <x:v>0</x:v>
      </x:c>
      <x:c r="F4" s="20" t="str">
        <x:v>0</x:v>
      </x:c>
      <x:c r="G4" s="20" t="str">
        <x:v>0</x:v>
      </x:c>
      <x:c r="H4" s="20" t="str">
        <x:v>0</x:v>
      </x:c>
      <x:c r="I4" s="20" t="str">
        <x:v>0</x:v>
      </x:c>
      <x:c r="J4" s="20" t="str">
        <x:v>0</x:v>
      </x:c>
      <x:c r="K4" s="20" t="str">
        <x:v>0</x:v>
      </x:c>
      <x:c r="L4" s="20" t="str">
        <x:v>0</x:v>
      </x:c>
      <x:c r="M4" s="20" t="str">
        <x:v>0</x:v>
      </x:c>
      <x:c r="N4" s="20" t="str">
        <x:v>0</x:v>
      </x:c>
      <x:c r="O4" s="20" t="str">
        <x:v>0</x:v>
      </x:c>
      <x:c r="P4" s="20" t="str">
        <x:v>0</x:v>
      </x:c>
      <x:c r="Q4" s="20" t="str">
        <x:v>1</x:v>
      </x:c>
      <x:c r="R4" s="20" t="str">
        <x:v>0</x:v>
      </x:c>
      <x:c r="S4" s="20" t="str">
        <x:v>0</x:v>
      </x:c>
      <x:c r="T4" s="20" t="str">
        <x:v>0</x:v>
      </x:c>
      <x:c r="U4" s="20" t="str">
        <x:v>0</x:v>
      </x:c>
      <x:c r="V4" s="20" t="str">
        <x:v>0</x:v>
      </x:c>
      <x:c r="W4" s="20" t="str">
        <x:v>0</x:v>
      </x:c>
      <x:c r="X4" s="20" t="str">
        <x:v>0</x:v>
      </x:c>
      <x:c r="Y4" s="20" t="str">
        <x:v>0</x:v>
      </x:c>
      <x:c r="Z4" s="20" t="str">
        <x:v>0</x:v>
      </x:c>
      <x:c r="AA4" s="20" t="str">
        <x:v>0</x:v>
      </x:c>
      <x:c r="AB4" s="20" t="str">
        <x:v>0</x:v>
      </x:c>
      <x:c r="AC4" s="20" t="str">
        <x:v>0</x:v>
      </x:c>
      <x:c r="AD4" s="20" t="str">
        <x:v>0</x:v>
      </x:c>
      <x:c r="AE4" s="20" t="str">
        <x:v>0</x:v>
      </x:c>
    </x:row>
    <x:row r="5">
      <x:c r="A5" s="20" t="str">
        <x:v>bakker2024_cochrane_auto_aligned</x:v>
      </x:c>
      <x:c r="B5" s="20" t="str">
        <x:v>2024</x:v>
      </x:c>
      <x:c r="C5" s="20" t="str">
        <x:v>Cochrane-auto: An Aligned Dataset for the Simplification of Biomedical Abstracts</x:v>
      </x:c>
      <x:c r="D5" s="20" t="str">
        <x:v>01_Core_Clinical_TS</x:v>
      </x:c>
      <x:c r="E5" s="20" t="str">
        <x:v>0</x:v>
      </x:c>
      <x:c r="F5" s="20" t="str">
        <x:v>0</x:v>
      </x:c>
      <x:c r="G5" s="20" t="str">
        <x:v>0</x:v>
      </x:c>
      <x:c r="H5" s="20" t="str">
        <x:v>0</x:v>
      </x:c>
      <x:c r="I5" s="20" t="str">
        <x:v>0</x:v>
      </x:c>
      <x:c r="J5" s="20" t="str">
        <x:v>0</x:v>
      </x:c>
      <x:c r="K5" s="20" t="str">
        <x:v>0</x:v>
      </x:c>
      <x:c r="L5" s="20" t="str">
        <x:v>0</x:v>
      </x:c>
      <x:c r="M5" s="20" t="str">
        <x:v>0</x:v>
      </x:c>
      <x:c r="N5" s="20" t="str">
        <x:v>0</x:v>
      </x:c>
      <x:c r="O5" s="20" t="str">
        <x:v>0</x:v>
      </x:c>
      <x:c r="P5" s="20" t="str">
        <x:v>0</x:v>
      </x:c>
      <x:c r="Q5" s="20" t="str">
        <x:v>0</x:v>
      </x:c>
      <x:c r="R5" s="20" t="str">
        <x:v>0</x:v>
      </x:c>
      <x:c r="S5" s="20" t="str">
        <x:v>0</x:v>
      </x:c>
      <x:c r="T5" s="20" t="str">
        <x:v>0</x:v>
      </x:c>
      <x:c r="U5" s="20" t="str">
        <x:v>0</x:v>
      </x:c>
      <x:c r="V5" s="20" t="str">
        <x:v>0</x:v>
      </x:c>
      <x:c r="W5" s="20" t="str">
        <x:v>1</x:v>
      </x:c>
      <x:c r="X5" s="20" t="str">
        <x:v>0</x:v>
      </x:c>
      <x:c r="Y5" s="20" t="str">
        <x:v>0</x:v>
      </x:c>
      <x:c r="Z5" s="20" t="str">
        <x:v>0</x:v>
      </x:c>
      <x:c r="AA5" s="20" t="str">
        <x:v>0</x:v>
      </x:c>
      <x:c r="AB5" s="20" t="str">
        <x:v>0</x:v>
      </x:c>
      <x:c r="AC5" s="20" t="str">
        <x:v>0</x:v>
      </x:c>
      <x:c r="AD5" s="20" t="str">
        <x:v>0</x:v>
      </x:c>
      <x:c r="AE5" s="20" t="str">
        <x:v>0</x:v>
      </x:c>
    </x:row>
    <x:row r="6">
      <x:c r="A6" s="20" t="str">
        <x:v>yao2024_readme_bridging_medical</x:v>
      </x:c>
      <x:c r="B6" s="20" t="str">
        <x:v>2024</x:v>
      </x:c>
      <x:c r="C6" s="20" t="str">
        <x:v>README: Bridging Medical Jargon and Lay Understanding for Patient Education through Data-Centric NLP</x:v>
      </x:c>
      <x:c r="D6" s="20" t="str">
        <x:v>01_Core_Clinical_TS</x:v>
      </x:c>
      <x:c r="E6" s="20" t="str">
        <x:v>0</x:v>
      </x:c>
      <x:c r="F6" s="20" t="str">
        <x:v>0</x:v>
      </x:c>
      <x:c r="G6" s="20" t="str">
        <x:v>0</x:v>
      </x:c>
      <x:c r="H6" s="20" t="str">
        <x:v>0</x:v>
      </x:c>
      <x:c r="I6" s="20" t="str">
        <x:v>0</x:v>
      </x:c>
      <x:c r="J6" s="20" t="str">
        <x:v>0</x:v>
      </x:c>
      <x:c r="K6" s="20" t="str">
        <x:v>0</x:v>
      </x:c>
      <x:c r="L6" s="20" t="str">
        <x:v>0</x:v>
      </x:c>
      <x:c r="M6" s="20" t="str">
        <x:v>0</x:v>
      </x:c>
      <x:c r="N6" s="20" t="str">
        <x:v>0</x:v>
      </x:c>
      <x:c r="O6" s="20" t="str">
        <x:v>0</x:v>
      </x:c>
      <x:c r="P6" s="20" t="str">
        <x:v>0</x:v>
      </x:c>
      <x:c r="Q6" s="20" t="str">
        <x:v>1</x:v>
      </x:c>
      <x:c r="R6" s="20" t="str">
        <x:v>0</x:v>
      </x:c>
      <x:c r="S6" s="20" t="str">
        <x:v>0</x:v>
      </x:c>
      <x:c r="T6" s="20" t="str">
        <x:v>0</x:v>
      </x:c>
      <x:c r="U6" s="20" t="str">
        <x:v>0</x:v>
      </x:c>
      <x:c r="V6" s="20" t="str">
        <x:v>0</x:v>
      </x:c>
      <x:c r="W6" s="20" t="str">
        <x:v>0</x:v>
      </x:c>
      <x:c r="X6" s="20" t="str">
        <x:v>0</x:v>
      </x:c>
      <x:c r="Y6" s="20" t="str">
        <x:v>0</x:v>
      </x:c>
      <x:c r="Z6" s="20" t="str">
        <x:v>0</x:v>
      </x:c>
      <x:c r="AA6" s="20" t="str">
        <x:v>0</x:v>
      </x:c>
      <x:c r="AB6" s="20" t="str">
        <x:v>0</x:v>
      </x:c>
      <x:c r="AC6" s="20" t="str">
        <x:v>0</x:v>
      </x:c>
      <x:c r="AD6" s="20" t="str">
        <x:v>0</x:v>
      </x:c>
      <x:c r="AE6" s="20" t="str">
        <x:v>0</x:v>
      </x:c>
    </x:row>
    <x:row r="7">
      <x:c r="A7" s="20" t="str">
        <x:v>devaraj2021_paragraph_level_simplification</x:v>
      </x:c>
      <x:c r="B7" s="20" t="str">
        <x:v>2021</x:v>
      </x:c>
      <x:c r="C7" s="20" t="str">
        <x:v>Paragraph-level Simplification of Medical Texts</x:v>
      </x:c>
      <x:c r="D7" s="20" t="str">
        <x:v>01_Core_Clinical_TS</x:v>
      </x:c>
      <x:c r="E7" s="20" t="str">
        <x:v>0</x:v>
      </x:c>
      <x:c r="F7" s="20" t="str">
        <x:v>0</x:v>
      </x:c>
      <x:c r="G7" s="20" t="str">
        <x:v>0</x:v>
      </x:c>
      <x:c r="H7" s="20" t="str">
        <x:v>0</x:v>
      </x:c>
      <x:c r="I7" s="20" t="str">
        <x:v>0</x:v>
      </x:c>
      <x:c r="J7" s="20" t="str">
        <x:v>0</x:v>
      </x:c>
      <x:c r="K7" s="20" t="str">
        <x:v>0</x:v>
      </x:c>
      <x:c r="L7" s="20" t="str">
        <x:v>0</x:v>
      </x:c>
      <x:c r="M7" s="20" t="str">
        <x:v>0</x:v>
      </x:c>
      <x:c r="N7" s="20" t="str">
        <x:v>0</x:v>
      </x:c>
      <x:c r="O7" s="20" t="str">
        <x:v>0</x:v>
      </x:c>
      <x:c r="P7" s="20" t="str">
        <x:v>0</x:v>
      </x:c>
      <x:c r="Q7" s="20" t="str">
        <x:v>0</x:v>
      </x:c>
      <x:c r="R7" s="20" t="str">
        <x:v>0</x:v>
      </x:c>
      <x:c r="S7" s="20" t="str">
        <x:v>0</x:v>
      </x:c>
      <x:c r="T7" s="20" t="str">
        <x:v>0</x:v>
      </x:c>
      <x:c r="U7" s="20" t="str">
        <x:v>0</x:v>
      </x:c>
      <x:c r="V7" s="20" t="str">
        <x:v>1</x:v>
      </x:c>
      <x:c r="W7" s="20" t="str">
        <x:v>0</x:v>
      </x:c>
      <x:c r="X7" s="20" t="str">
        <x:v>0</x:v>
      </x:c>
      <x:c r="Y7" s="20" t="str">
        <x:v>0</x:v>
      </x:c>
      <x:c r="Z7" s="20" t="str">
        <x:v>0</x:v>
      </x:c>
      <x:c r="AA7" s="20" t="str">
        <x:v>0</x:v>
      </x:c>
      <x:c r="AB7" s="20" t="str">
        <x:v>0</x:v>
      </x:c>
      <x:c r="AC7" s="20" t="str">
        <x:v>0</x:v>
      </x:c>
      <x:c r="AD7" s="20" t="str">
        <x:v>0</x:v>
      </x:c>
      <x:c r="AE7" s="20" t="str">
        <x:v>0</x:v>
      </x:c>
    </x:row>
    <x:row r="8">
      <x:c r="A8" s="20" t="str">
        <x:v>devaraj2022_evaluating_factuality_text</x:v>
      </x:c>
      <x:c r="B8" s="20" t="str">
        <x:v>2022</x:v>
      </x:c>
      <x:c r="C8" s="20" t="str">
        <x:v>Evaluating Factuality in Text Simplification</x:v>
      </x:c>
      <x:c r="D8" s="20" t="str">
        <x:v>01_Core_Clinical_TS</x:v>
      </x:c>
      <x:c r="E8" s="20" t="str">
        <x:v>0</x:v>
      </x:c>
      <x:c r="F8" s="20" t="str">
        <x:v>0</x:v>
      </x:c>
      <x:c r="G8" s="20" t="str">
        <x:v>0</x:v>
      </x:c>
      <x:c r="H8" s="20" t="str">
        <x:v>0</x:v>
      </x:c>
      <x:c r="I8" s="20" t="str">
        <x:v>0</x:v>
      </x:c>
      <x:c r="J8" s="20" t="str">
        <x:v>0</x:v>
      </x:c>
      <x:c r="K8" s="20" t="str">
        <x:v>0</x:v>
      </x:c>
      <x:c r="L8" s="20" t="str">
        <x:v>0</x:v>
      </x:c>
      <x:c r="M8" s="20" t="str">
        <x:v>0</x:v>
      </x:c>
      <x:c r="N8" s="20" t="str">
        <x:v>0</x:v>
      </x:c>
      <x:c r="O8" s="20" t="str">
        <x:v>0</x:v>
      </x:c>
      <x:c r="P8" s="20" t="str">
        <x:v>0</x:v>
      </x:c>
      <x:c r="Q8" s="20" t="str">
        <x:v>1</x:v>
      </x:c>
      <x:c r="R8" s="20" t="str">
        <x:v>0</x:v>
      </x:c>
      <x:c r="S8" s="20" t="str">
        <x:v>0</x:v>
      </x:c>
      <x:c r="T8" s="20" t="str">
        <x:v>0</x:v>
      </x:c>
      <x:c r="U8" s="20" t="str">
        <x:v>0</x:v>
      </x:c>
      <x:c r="V8" s="20" t="str">
        <x:v>0</x:v>
      </x:c>
      <x:c r="W8" s="20" t="str">
        <x:v>0</x:v>
      </x:c>
      <x:c r="X8" s="20" t="str">
        <x:v>0</x:v>
      </x:c>
      <x:c r="Y8" s="20" t="str">
        <x:v>0</x:v>
      </x:c>
      <x:c r="Z8" s="20" t="str">
        <x:v>0</x:v>
      </x:c>
      <x:c r="AA8" s="20" t="str">
        <x:v>0</x:v>
      </x:c>
      <x:c r="AB8" s="20" t="str">
        <x:v>0</x:v>
      </x:c>
      <x:c r="AC8" s="20" t="str">
        <x:v>0</x:v>
      </x:c>
      <x:c r="AD8" s="20" t="str">
        <x:v>0</x:v>
      </x:c>
      <x:c r="AE8" s="20" t="str">
        <x:v>0</x:v>
      </x:c>
    </x:row>
    <x:row r="9">
      <x:c r="A9" s="20" t="str">
        <x:v>flores2023_medical_text_simplification</x:v>
      </x:c>
      <x:c r="B9" s="20" t="str">
        <x:v>2023</x:v>
      </x:c>
      <x:c r="C9" s="20" t="str">
        <x:v>Medical Text Simplification: Optimizing for Readability with Unlikelihood Training and Reranked Beam Search Decoding</x:v>
      </x:c>
      <x:c r="D9" s="20" t="str">
        <x:v>01_Core_Clinical_TS</x:v>
      </x:c>
      <x:c r="E9" s="20" t="str">
        <x:v>0</x:v>
      </x:c>
      <x:c r="F9" s="20" t="str">
        <x:v>0</x:v>
      </x:c>
      <x:c r="G9" s="20" t="str">
        <x:v>0</x:v>
      </x:c>
      <x:c r="H9" s="20" t="str">
        <x:v>0</x:v>
      </x:c>
      <x:c r="I9" s="20" t="str">
        <x:v>0</x:v>
      </x:c>
      <x:c r="J9" s="20" t="str">
        <x:v>0</x:v>
      </x:c>
      <x:c r="K9" s="20" t="str">
        <x:v>0</x:v>
      </x:c>
      <x:c r="L9" s="20" t="str">
        <x:v>0</x:v>
      </x:c>
      <x:c r="M9" s="20" t="str">
        <x:v>0</x:v>
      </x:c>
      <x:c r="N9" s="20" t="str">
        <x:v>0</x:v>
      </x:c>
      <x:c r="O9" s="20" t="str">
        <x:v>0</x:v>
      </x:c>
      <x:c r="P9" s="20" t="str">
        <x:v>0</x:v>
      </x:c>
      <x:c r="Q9" s="20" t="str">
        <x:v>0</x:v>
      </x:c>
      <x:c r="R9" s="20" t="str">
        <x:v>0</x:v>
      </x:c>
      <x:c r="S9" s="20" t="str">
        <x:v>0</x:v>
      </x:c>
      <x:c r="T9" s="20" t="str">
        <x:v>1</x:v>
      </x:c>
      <x:c r="U9" s="20" t="str">
        <x:v>0</x:v>
      </x:c>
      <x:c r="V9" s="20" t="str">
        <x:v>0</x:v>
      </x:c>
      <x:c r="W9" s="20" t="str">
        <x:v>0</x:v>
      </x:c>
      <x:c r="X9" s="20" t="str">
        <x:v>0</x:v>
      </x:c>
      <x:c r="Y9" s="20" t="str">
        <x:v>0</x:v>
      </x:c>
      <x:c r="Z9" s="20" t="str">
        <x:v>0</x:v>
      </x:c>
      <x:c r="AA9" s="20" t="str">
        <x:v>0</x:v>
      </x:c>
      <x:c r="AB9" s="20" t="str">
        <x:v>0</x:v>
      </x:c>
      <x:c r="AC9" s="20" t="str">
        <x:v>0</x:v>
      </x:c>
      <x:c r="AD9" s="20" t="str">
        <x:v>0</x:v>
      </x:c>
      <x:c r="AE9" s="20" t="str">
        <x:v>0</x:v>
      </x:c>
    </x:row>
    <x:row r="10">
      <x:c r="A10" s="20" t="str">
        <x:v>phatak2022_medical_text_simplification</x:v>
      </x:c>
      <x:c r="B10" s="20" t="str">
        <x:v>2022</x:v>
      </x:c>
      <x:c r="C10" s="20" t="str">
        <x:v>Medical Text Simplification Using Reinforcement Learning (TESLEA): Deep Learning-Based Text Simplification Approach</x:v>
      </x:c>
      <x:c r="D10" s="20" t="str">
        <x:v>01_Core_Clinical_TS</x:v>
      </x:c>
      <x:c r="E10" s="20" t="str">
        <x:v>0</x:v>
      </x:c>
      <x:c r="F10" s="20" t="str">
        <x:v>0</x:v>
      </x:c>
      <x:c r="G10" s="20" t="str">
        <x:v>0</x:v>
      </x:c>
      <x:c r="H10" s="20" t="str">
        <x:v>0</x:v>
      </x:c>
      <x:c r="I10" s="20" t="str">
        <x:v>0</x:v>
      </x:c>
      <x:c r="J10" s="20" t="str">
        <x:v>0</x:v>
      </x:c>
      <x:c r="K10" s="20" t="str">
        <x:v>0</x:v>
      </x:c>
      <x:c r="L10" s="20" t="str">
        <x:v>0</x:v>
      </x:c>
      <x:c r="M10" s="20" t="str">
        <x:v>0</x:v>
      </x:c>
      <x:c r="N10" s="20" t="str">
        <x:v>0</x:v>
      </x:c>
      <x:c r="O10" s="20" t="str">
        <x:v>0</x:v>
      </x:c>
      <x:c r="P10" s="20" t="str">
        <x:v>0</x:v>
      </x:c>
      <x:c r="Q10" s="20" t="str">
        <x:v>0</x:v>
      </x:c>
      <x:c r="R10" s="20" t="str">
        <x:v>0</x:v>
      </x:c>
      <x:c r="S10" s="20" t="str">
        <x:v>0</x:v>
      </x:c>
      <x:c r="T10" s="20" t="str">
        <x:v>0</x:v>
      </x:c>
      <x:c r="U10" s="20" t="str">
        <x:v>0</x:v>
      </x:c>
      <x:c r="V10" s="20" t="str">
        <x:v>1</x:v>
      </x:c>
      <x:c r="W10" s="20" t="str">
        <x:v>0</x:v>
      </x:c>
      <x:c r="X10" s="20" t="str">
        <x:v>0</x:v>
      </x:c>
      <x:c r="Y10" s="20" t="str">
        <x:v>0</x:v>
      </x:c>
      <x:c r="Z10" s="20" t="str">
        <x:v>0</x:v>
      </x:c>
      <x:c r="AA10" s="20" t="str">
        <x:v>0</x:v>
      </x:c>
      <x:c r="AB10" s="20" t="str">
        <x:v>0</x:v>
      </x:c>
      <x:c r="AC10" s="20" t="str">
        <x:v>0</x:v>
      </x:c>
      <x:c r="AD10" s="20" t="str">
        <x:v>0</x:v>
      </x:c>
      <x:c r="AE10" s="20" t="str">
        <x:v>0</x:v>
      </x:c>
    </x:row>
    <x:row r="11">
      <x:c r="A11" s="20" t="str">
        <x:v>moramarco2022_more_patient_friendly</x:v>
      </x:c>
      <x:c r="B11" s="20" t="str">
        <x:v>2022</x:v>
      </x:c>
      <x:c r="C11" s="20" t="str">
        <x:v>Towards More Patient Friendly Clinical Notes through Language Models and Ontologies</x:v>
      </x:c>
      <x:c r="D11" s="20" t="str">
        <x:v>01_Core_Clinical_TS</x:v>
      </x:c>
      <x:c r="E11" s="20" t="str">
        <x:v>0</x:v>
      </x:c>
      <x:c r="F11" s="20" t="str">
        <x:v>0</x:v>
      </x:c>
      <x:c r="G11" s="20" t="str">
        <x:v>0</x:v>
      </x:c>
      <x:c r="H11" s="20" t="str">
        <x:v>0</x:v>
      </x:c>
      <x:c r="I11" s="20" t="str">
        <x:v>0</x:v>
      </x:c>
      <x:c r="J11" s="20" t="str">
        <x:v>0</x:v>
      </x:c>
      <x:c r="K11" s="20" t="str">
        <x:v>0</x:v>
      </x:c>
      <x:c r="L11" s="20" t="str">
        <x:v>0</x:v>
      </x:c>
      <x:c r="M11" s="20" t="str">
        <x:v>0</x:v>
      </x:c>
      <x:c r="N11" s="20" t="str">
        <x:v>0</x:v>
      </x:c>
      <x:c r="O11" s="20" t="str">
        <x:v>0</x:v>
      </x:c>
      <x:c r="P11" s="20" t="str">
        <x:v>0</x:v>
      </x:c>
      <x:c r="Q11" s="20" t="str">
        <x:v>0</x:v>
      </x:c>
      <x:c r="R11" s="20" t="str">
        <x:v>0</x:v>
      </x:c>
      <x:c r="S11" s="20" t="str">
        <x:v>0</x:v>
      </x:c>
      <x:c r="T11" s="20" t="str">
        <x:v>0</x:v>
      </x:c>
      <x:c r="U11" s="20" t="str">
        <x:v>0</x:v>
      </x:c>
      <x:c r="V11" s="20" t="str">
        <x:v>0</x:v>
      </x:c>
      <x:c r="W11" s="20" t="str">
        <x:v>0</x:v>
      </x:c>
      <x:c r="X11" s="20" t="str">
        <x:v>1</x:v>
      </x:c>
      <x:c r="Y11" s="20" t="str">
        <x:v>0</x:v>
      </x:c>
      <x:c r="Z11" s="20" t="str">
        <x:v>0</x:v>
      </x:c>
      <x:c r="AA11" s="20" t="str">
        <x:v>0</x:v>
      </x:c>
      <x:c r="AB11" s="20" t="str">
        <x:v>0</x:v>
      </x:c>
      <x:c r="AC11" s="20" t="str">
        <x:v>0</x:v>
      </x:c>
      <x:c r="AD11" s="20" t="str">
        <x:v>0</x:v>
      </x:c>
      <x:c r="AE11" s="20" t="str">
        <x:v>0</x:v>
      </x:c>
    </x:row>
    <x:row r="12">
      <x:c r="A12" s="20" t="str">
        <x:v>trienes2022_patient_friendly_clinical</x:v>
      </x:c>
      <x:c r="B12" s="20" t="str">
        <x:v>2022</x:v>
      </x:c>
      <x:c r="C12" s="20" t="str">
        <x:v>Patient-Friendly Clinical Notes: Towards a New Text Simplification Dataset</x:v>
      </x:c>
      <x:c r="D12" s="20" t="str">
        <x:v>01_Core_Clinical_TS</x:v>
      </x:c>
      <x:c r="E12" s="20" t="str">
        <x:v>0</x:v>
      </x:c>
      <x:c r="F12" s="20" t="str">
        <x:v>0</x:v>
      </x:c>
      <x:c r="G12" s="20" t="str">
        <x:v>0</x:v>
      </x:c>
      <x:c r="H12" s="20" t="str">
        <x:v>0</x:v>
      </x:c>
      <x:c r="I12" s="20" t="str">
        <x:v>0</x:v>
      </x:c>
      <x:c r="J12" s="20" t="str">
        <x:v>0</x:v>
      </x:c>
      <x:c r="K12" s="20" t="str">
        <x:v>0</x:v>
      </x:c>
      <x:c r="L12" s="20" t="str">
        <x:v>0</x:v>
      </x:c>
      <x:c r="M12" s="20" t="str">
        <x:v>0</x:v>
      </x:c>
      <x:c r="N12" s="20" t="str">
        <x:v>0</x:v>
      </x:c>
      <x:c r="O12" s="20" t="str">
        <x:v>0</x:v>
      </x:c>
      <x:c r="P12" s="20" t="str">
        <x:v>0</x:v>
      </x:c>
      <x:c r="Q12" s="20" t="str">
        <x:v>1</x:v>
      </x:c>
      <x:c r="R12" s="20" t="str">
        <x:v>0</x:v>
      </x:c>
      <x:c r="S12" s="20" t="str">
        <x:v>0</x:v>
      </x:c>
      <x:c r="T12" s="20" t="str">
        <x:v>0</x:v>
      </x:c>
      <x:c r="U12" s="20" t="str">
        <x:v>0</x:v>
      </x:c>
      <x:c r="V12" s="20" t="str">
        <x:v>0</x:v>
      </x:c>
      <x:c r="W12" s="20" t="str">
        <x:v>0</x:v>
      </x:c>
      <x:c r="X12" s="20" t="str">
        <x:v>0</x:v>
      </x:c>
      <x:c r="Y12" s="20" t="str">
        <x:v>0</x:v>
      </x:c>
      <x:c r="Z12" s="20" t="str">
        <x:v>0</x:v>
      </x:c>
      <x:c r="AA12" s="20" t="str">
        <x:v>0</x:v>
      </x:c>
      <x:c r="AB12" s="20" t="str">
        <x:v>0</x:v>
      </x:c>
      <x:c r="AC12" s="20" t="str">
        <x:v>0</x:v>
      </x:c>
      <x:c r="AD12" s="20" t="str">
        <x:v>0</x:v>
      </x:c>
      <x:c r="AE12" s="20" t="str">
        <x:v>0</x:v>
      </x:c>
    </x:row>
    <x:row r="13">
      <x:c r="A13" s="20" t="str">
        <x:v>rahman2024_health_text_simplification</x:v>
      </x:c>
      <x:c r="B13" s="20" t="str">
        <x:v>2024</x:v>
      </x:c>
      <x:c r="C13" s="20" t="str">
        <x:v>Health Text Simplification: An Annotated Corpus for Digestive Cancer Education and Novel Strategies for Reinforcement Learning</x:v>
      </x:c>
      <x:c r="D13" s="20" t="str">
        <x:v>01_Core_Clinical_TS</x:v>
      </x:c>
      <x:c r="E13" s="20" t="str">
        <x:v>0</x:v>
      </x:c>
      <x:c r="F13" s="20" t="str">
        <x:v>0</x:v>
      </x:c>
      <x:c r="G13" s="20" t="str">
        <x:v>0</x:v>
      </x:c>
      <x:c r="H13" s="20" t="str">
        <x:v>0</x:v>
      </x:c>
      <x:c r="I13" s="20" t="str">
        <x:v>0</x:v>
      </x:c>
      <x:c r="J13" s="20" t="str">
        <x:v>0</x:v>
      </x:c>
      <x:c r="K13" s="20" t="str">
        <x:v>0</x:v>
      </x:c>
      <x:c r="L13" s="20" t="str">
        <x:v>0</x:v>
      </x:c>
      <x:c r="M13" s="20" t="str">
        <x:v>0</x:v>
      </x:c>
      <x:c r="N13" s="20" t="str">
        <x:v>0</x:v>
      </x:c>
      <x:c r="O13" s="20" t="str">
        <x:v>0</x:v>
      </x:c>
      <x:c r="P13" s="20" t="str">
        <x:v>0</x:v>
      </x:c>
      <x:c r="Q13" s="20" t="str">
        <x:v>1</x:v>
      </x:c>
      <x:c r="R13" s="20" t="str">
        <x:v>0</x:v>
      </x:c>
      <x:c r="S13" s="20" t="str">
        <x:v>0</x:v>
      </x:c>
      <x:c r="T13" s="20" t="str">
        <x:v>0</x:v>
      </x:c>
      <x:c r="U13" s="20" t="str">
        <x:v>0</x:v>
      </x:c>
      <x:c r="V13" s="20" t="str">
        <x:v>0</x:v>
      </x:c>
      <x:c r="W13" s="20" t="str">
        <x:v>0</x:v>
      </x:c>
      <x:c r="X13" s="20" t="str">
        <x:v>0</x:v>
      </x:c>
      <x:c r="Y13" s="20" t="str">
        <x:v>0</x:v>
      </x:c>
      <x:c r="Z13" s="20" t="str">
        <x:v>0</x:v>
      </x:c>
      <x:c r="AA13" s="20" t="str">
        <x:v>0</x:v>
      </x:c>
      <x:c r="AB13" s="20" t="str">
        <x:v>0</x:v>
      </x:c>
      <x:c r="AC13" s="20" t="str">
        <x:v>0</x:v>
      </x:c>
      <x:c r="AD13" s="20" t="str">
        <x:v>0</x:v>
      </x:c>
      <x:c r="AE13" s="20" t="str">
        <x:v>0</x:v>
      </x:c>
    </x:row>
    <x:row r="14">
      <x:c r="A14" s="20" t="str">
        <x:v>pavithra2025_bridging_health_literacy</x:v>
      </x:c>
      <x:c r="B14" s="20" t="str">
        <x:v>2025</x:v>
      </x:c>
      <x:c r="C14" s="20" t="str">
        <x:v>Bridging Health Literacy Gaps in Indian Languages: Multilingual LLMs for Clinical Text Simplification</x:v>
      </x:c>
      <x:c r="D14" s="20" t="str">
        <x:v>01_Core_Clinical_TS</x:v>
      </x:c>
      <x:c r="E14" s="20" t="str">
        <x:v>0</x:v>
      </x:c>
      <x:c r="F14" s="20" t="str">
        <x:v>0</x:v>
      </x:c>
      <x:c r="G14" s="20" t="str">
        <x:v>0</x:v>
      </x:c>
      <x:c r="H14" s="20" t="str">
        <x:v>0</x:v>
      </x:c>
      <x:c r="I14" s="20" t="str">
        <x:v>0</x:v>
      </x:c>
      <x:c r="J14" s="20" t="str">
        <x:v>0</x:v>
      </x:c>
      <x:c r="K14" s="20" t="str">
        <x:v>0</x:v>
      </x:c>
      <x:c r="L14" s="20" t="str">
        <x:v>0</x:v>
      </x:c>
      <x:c r="M14" s="20" t="str">
        <x:v>0</x:v>
      </x:c>
      <x:c r="N14" s="20" t="str">
        <x:v>0</x:v>
      </x:c>
      <x:c r="O14" s="20" t="str">
        <x:v>0</x:v>
      </x:c>
      <x:c r="P14" s="20" t="str">
        <x:v>0</x:v>
      </x:c>
      <x:c r="Q14" s="20" t="str">
        <x:v>0</x:v>
      </x:c>
      <x:c r="R14" s="20" t="str">
        <x:v>0</x:v>
      </x:c>
      <x:c r="S14" s="20" t="str">
        <x:v>0</x:v>
      </x:c>
      <x:c r="T14" s="20" t="str">
        <x:v>0</x:v>
      </x:c>
      <x:c r="U14" s="20" t="str">
        <x:v>0</x:v>
      </x:c>
      <x:c r="V14" s="20" t="str">
        <x:v>0</x:v>
      </x:c>
      <x:c r="W14" s="20" t="str">
        <x:v>1</x:v>
      </x:c>
      <x:c r="X14" s="20" t="str">
        <x:v>0</x:v>
      </x:c>
      <x:c r="Y14" s="20" t="str">
        <x:v>0</x:v>
      </x:c>
      <x:c r="Z14" s="20" t="str">
        <x:v>0</x:v>
      </x:c>
      <x:c r="AA14" s="20" t="str">
        <x:v>0</x:v>
      </x:c>
      <x:c r="AB14" s="20" t="str">
        <x:v>0</x:v>
      </x:c>
      <x:c r="AC14" s="20" t="str">
        <x:v>0</x:v>
      </x:c>
      <x:c r="AD14" s="20" t="str">
        <x:v>0</x:v>
      </x:c>
      <x:c r="AE14" s="20" t="str">
        <x:v>0</x:v>
      </x:c>
    </x:row>
    <x:row r="15">
      <x:c r="A15" s="20" t="str">
        <x:v>tran2025_medreadctrl_personalizing_medical</x:v>
      </x:c>
      <x:c r="B15" s="20" t="str">
        <x:v>2025</x:v>
      </x:c>
      <x:c r="C15" s="20" t="str">
        <x:v>MedReadCtrl: Personalizing Medical Text Generation with Readability-Controlled Instruction Learning</x:v>
      </x:c>
      <x:c r="D15" s="20" t="str">
        <x:v>01_Core_Clinical_TS</x:v>
      </x:c>
      <x:c r="E15" s="20" t="str">
        <x:v>0</x:v>
      </x:c>
      <x:c r="F15" s="20" t="str">
        <x:v>0</x:v>
      </x:c>
      <x:c r="G15" s="20" t="str">
        <x:v>0</x:v>
      </x:c>
      <x:c r="H15" s="20" t="str">
        <x:v>0</x:v>
      </x:c>
      <x:c r="I15" s="20" t="str">
        <x:v>0</x:v>
      </x:c>
      <x:c r="J15" s="20" t="str">
        <x:v>0</x:v>
      </x:c>
      <x:c r="K15" s="20" t="str">
        <x:v>0</x:v>
      </x:c>
      <x:c r="L15" s="20" t="str">
        <x:v>0</x:v>
      </x:c>
      <x:c r="M15" s="20" t="str">
        <x:v>0</x:v>
      </x:c>
      <x:c r="N15" s="20" t="str">
        <x:v>0</x:v>
      </x:c>
      <x:c r="O15" s="20" t="str">
        <x:v>0</x:v>
      </x:c>
      <x:c r="P15" s="20" t="str">
        <x:v>0</x:v>
      </x:c>
      <x:c r="Q15" s="20" t="str">
        <x:v>0</x:v>
      </x:c>
      <x:c r="R15" s="20" t="str">
        <x:v>0</x:v>
      </x:c>
      <x:c r="S15" s="20" t="str">
        <x:v>0</x:v>
      </x:c>
      <x:c r="T15" s="20" t="str">
        <x:v>0</x:v>
      </x:c>
      <x:c r="U15" s="20" t="str">
        <x:v>0</x:v>
      </x:c>
      <x:c r="V15" s="20" t="str">
        <x:v>0</x:v>
      </x:c>
      <x:c r="W15" s="20" t="str">
        <x:v>1</x:v>
      </x:c>
      <x:c r="X15" s="20" t="str">
        <x:v>0</x:v>
      </x:c>
      <x:c r="Y15" s="20" t="str">
        <x:v>0</x:v>
      </x:c>
      <x:c r="Z15" s="20" t="str">
        <x:v>0</x:v>
      </x:c>
      <x:c r="AA15" s="20" t="str">
        <x:v>0</x:v>
      </x:c>
      <x:c r="AB15" s="20" t="str">
        <x:v>0</x:v>
      </x:c>
      <x:c r="AC15" s="20" t="str">
        <x:v>0</x:v>
      </x:c>
      <x:c r="AD15" s="20" t="str">
        <x:v>0</x:v>
      </x:c>
      <x:c r="AE15" s="20" t="str">
        <x:v>0</x:v>
      </x:c>
    </x:row>
    <x:row r="16">
      <x:c r="A16" s="20" t="str">
        <x:v>qenam2017_text_simplification_consumer</x:v>
      </x:c>
      <x:c r="B16" s="20" t="str">
        <x:v>2017</x:v>
      </x:c>
      <x:c r="C16" s="20" t="str">
        <x:v>Text Simplification Using Consumer Health Vocabulary to Generate Patient-Centered Radiology Reporting: Translation and Evaluation</x:v>
      </x:c>
      <x:c r="D16" s="20" t="str">
        <x:v>01_Core_Clinical_TS</x:v>
      </x:c>
      <x:c r="E16" s="20" t="str">
        <x:v>0</x:v>
      </x:c>
      <x:c r="F16" s="20" t="str">
        <x:v>0</x:v>
      </x:c>
      <x:c r="G16" s="20" t="str">
        <x:v>0</x:v>
      </x:c>
      <x:c r="H16" s="20" t="str">
        <x:v>0</x:v>
      </x:c>
      <x:c r="I16" s="20" t="str">
        <x:v>0</x:v>
      </x:c>
      <x:c r="J16" s="20" t="str">
        <x:v>0</x:v>
      </x:c>
      <x:c r="K16" s="20" t="str">
        <x:v>0</x:v>
      </x:c>
      <x:c r="L16" s="20" t="str">
        <x:v>0</x:v>
      </x:c>
      <x:c r="M16" s="20" t="str">
        <x:v>0</x:v>
      </x:c>
      <x:c r="N16" s="20" t="str">
        <x:v>0</x:v>
      </x:c>
      <x:c r="O16" s="20" t="str">
        <x:v>0</x:v>
      </x:c>
      <x:c r="P16" s="20" t="str">
        <x:v>0</x:v>
      </x:c>
      <x:c r="Q16" s="20" t="str">
        <x:v>0</x:v>
      </x:c>
      <x:c r="R16" s="20" t="str">
        <x:v>0</x:v>
      </x:c>
      <x:c r="S16" s="20" t="str">
        <x:v>0</x:v>
      </x:c>
      <x:c r="T16" s="20" t="str">
        <x:v>0</x:v>
      </x:c>
      <x:c r="U16" s="20" t="str">
        <x:v>0</x:v>
      </x:c>
      <x:c r="V16" s="20" t="str">
        <x:v>0</x:v>
      </x:c>
      <x:c r="W16" s="20" t="str">
        <x:v>0</x:v>
      </x:c>
      <x:c r="X16" s="20" t="str">
        <x:v>1</x:v>
      </x:c>
      <x:c r="Y16" s="20" t="str">
        <x:v>0</x:v>
      </x:c>
      <x:c r="Z16" s="20" t="str">
        <x:v>0</x:v>
      </x:c>
      <x:c r="AA16" s="20" t="str">
        <x:v>0</x:v>
      </x:c>
      <x:c r="AB16" s="20" t="str">
        <x:v>0</x:v>
      </x:c>
      <x:c r="AC16" s="20" t="str">
        <x:v>0</x:v>
      </x:c>
      <x:c r="AD16" s="20" t="str">
        <x:v>0</x:v>
      </x:c>
      <x:c r="AE16" s="20" t="str">
        <x:v>0</x:v>
      </x:c>
    </x:row>
    <x:row r="17">
      <x:c r="A17" s="20" t="str">
        <x:v>makhmutova2024_medical_text_simplification</x:v>
      </x:c>
      <x:c r="B17" s="20" t="str">
        <x:v>2024</x:v>
      </x:c>
      <x:c r="C17" s="20" t="str">
        <x:v>Automated Medical Text Simplification for Enhanced Patient Understanding</x:v>
      </x:c>
      <x:c r="D17" s="20" t="str">
        <x:v>01_Core_Clinical_TS</x:v>
      </x:c>
      <x:c r="E17" s="20" t="str">
        <x:v>0</x:v>
      </x:c>
      <x:c r="F17" s="20" t="str">
        <x:v>0</x:v>
      </x:c>
      <x:c r="G17" s="20" t="str">
        <x:v>0</x:v>
      </x:c>
      <x:c r="H17" s="20" t="str">
        <x:v>0</x:v>
      </x:c>
      <x:c r="I17" s="20" t="str">
        <x:v>0</x:v>
      </x:c>
      <x:c r="J17" s="20" t="str">
        <x:v>0</x:v>
      </x:c>
      <x:c r="K17" s="20" t="str">
        <x:v>0</x:v>
      </x:c>
      <x:c r="L17" s="20" t="str">
        <x:v>0</x:v>
      </x:c>
      <x:c r="M17" s="20" t="str">
        <x:v>0</x:v>
      </x:c>
      <x:c r="N17" s="20" t="str">
        <x:v>0</x:v>
      </x:c>
      <x:c r="O17" s="20" t="str">
        <x:v>0</x:v>
      </x:c>
      <x:c r="P17" s="20" t="str">
        <x:v>0</x:v>
      </x:c>
      <x:c r="Q17" s="20" t="str">
        <x:v>1</x:v>
      </x:c>
      <x:c r="R17" s="20" t="str">
        <x:v>0</x:v>
      </x:c>
      <x:c r="S17" s="20" t="str">
        <x:v>0</x:v>
      </x:c>
      <x:c r="T17" s="20" t="str">
        <x:v>0</x:v>
      </x:c>
      <x:c r="U17" s="20" t="str">
        <x:v>0</x:v>
      </x:c>
      <x:c r="V17" s="20" t="str">
        <x:v>0</x:v>
      </x:c>
      <x:c r="W17" s="20" t="str">
        <x:v>0</x:v>
      </x:c>
      <x:c r="X17" s="20" t="str">
        <x:v>0</x:v>
      </x:c>
      <x:c r="Y17" s="20" t="str">
        <x:v>0</x:v>
      </x:c>
      <x:c r="Z17" s="20" t="str">
        <x:v>0</x:v>
      </x:c>
      <x:c r="AA17" s="20" t="str">
        <x:v>0</x:v>
      </x:c>
      <x:c r="AB17" s="20" t="str">
        <x:v>0</x:v>
      </x:c>
      <x:c r="AC17" s="20" t="str">
        <x:v>0</x:v>
      </x:c>
      <x:c r="AD17" s="20" t="str">
        <x:v>0</x:v>
      </x:c>
      <x:c r="AE17" s="20" t="str">
        <x:v>0</x:v>
      </x:c>
    </x:row>
    <x:row r="18">
      <x:c r="A18" s="20" t="str">
        <x:v>vora2025_s_3_pipeline</x:v>
      </x:c>
      <x:c r="B18" s="20" t="str">
        <x:v>2025</x:v>
      </x:c>
      <x:c r="C18" s="20" t="str">
        <x:v>S-3 Pipeline for Biomedical Text Simplification</x:v>
      </x:c>
      <x:c r="D18" s="20" t="str">
        <x:v>01_Core_Clinical_TS</x:v>
      </x:c>
      <x:c r="E18" s="20" t="str">
        <x:v>0</x:v>
      </x:c>
      <x:c r="F18" s="20" t="str">
        <x:v>0</x:v>
      </x:c>
      <x:c r="G18" s="20" t="str">
        <x:v>0</x:v>
      </x:c>
      <x:c r="H18" s="20" t="str">
        <x:v>0</x:v>
      </x:c>
      <x:c r="I18" s="20" t="str">
        <x:v>0</x:v>
      </x:c>
      <x:c r="J18" s="20" t="str">
        <x:v>0</x:v>
      </x:c>
      <x:c r="K18" s="20" t="str">
        <x:v>0</x:v>
      </x:c>
      <x:c r="L18" s="20" t="str">
        <x:v>0</x:v>
      </x:c>
      <x:c r="M18" s="20" t="str">
        <x:v>0</x:v>
      </x:c>
      <x:c r="N18" s="20" t="str">
        <x:v>0</x:v>
      </x:c>
      <x:c r="O18" s="20" t="str">
        <x:v>0</x:v>
      </x:c>
      <x:c r="P18" s="20" t="str">
        <x:v>0</x:v>
      </x:c>
      <x:c r="Q18" s="20" t="str">
        <x:v>0</x:v>
      </x:c>
      <x:c r="R18" s="20" t="str">
        <x:v>0</x:v>
      </x:c>
      <x:c r="S18" s="20" t="str">
        <x:v>0</x:v>
      </x:c>
      <x:c r="T18" s="20" t="str">
        <x:v>0</x:v>
      </x:c>
      <x:c r="U18" s="20" t="str">
        <x:v>0</x:v>
      </x:c>
      <x:c r="V18" s="20" t="str">
        <x:v>0</x:v>
      </x:c>
      <x:c r="W18" s="20" t="str">
        <x:v>1</x:v>
      </x:c>
      <x:c r="X18" s="20" t="str">
        <x:v>0</x:v>
      </x:c>
      <x:c r="Y18" s="20" t="str">
        <x:v>0</x:v>
      </x:c>
      <x:c r="Z18" s="20" t="str">
        <x:v>0</x:v>
      </x:c>
      <x:c r="AA18" s="20" t="str">
        <x:v>0</x:v>
      </x:c>
      <x:c r="AB18" s="20" t="str">
        <x:v>0</x:v>
      </x:c>
      <x:c r="AC18" s="20" t="str">
        <x:v>0</x:v>
      </x:c>
      <x:c r="AD18" s="20" t="str">
        <x:v>0</x:v>
      </x:c>
      <x:c r="AE18" s="20" t="str">
        <x:v>0</x:v>
      </x:c>
    </x:row>
    <x:row r="19">
      <x:c r="A19" s="20" t="str">
        <x:v>bakker2025_overview_clef_2025</x:v>
      </x:c>
      <x:c r="B19" s="20" t="str">
        <x:v>2025</x:v>
      </x:c>
      <x:c r="C19" s="20" t="str">
        <x:v>Overview of the CLEF 2025 SimpleText Task 1: Scientific and Biomedical Text Simplification</x:v>
      </x:c>
      <x:c r="D19" s="20" t="str">
        <x:v>01_Core_Clinical_TS</x:v>
      </x:c>
      <x:c r="E19" s="20" t="str">
        <x:v>0</x:v>
      </x:c>
      <x:c r="F19" s="20" t="str">
        <x:v>0</x:v>
      </x:c>
      <x:c r="G19" s="20" t="str">
        <x:v>0</x:v>
      </x:c>
      <x:c r="H19" s="20" t="str">
        <x:v>0</x:v>
      </x:c>
      <x:c r="I19" s="20" t="str">
        <x:v>0</x:v>
      </x:c>
      <x:c r="J19" s="20" t="str">
        <x:v>0</x:v>
      </x:c>
      <x:c r="K19" s="20" t="str">
        <x:v>0</x:v>
      </x:c>
      <x:c r="L19" s="20" t="str">
        <x:v>0</x:v>
      </x:c>
      <x:c r="M19" s="20" t="str">
        <x:v>0</x:v>
      </x:c>
      <x:c r="N19" s="20" t="str">
        <x:v>0</x:v>
      </x:c>
      <x:c r="O19" s="20" t="str">
        <x:v>0</x:v>
      </x:c>
      <x:c r="P19" s="20" t="str">
        <x:v>0</x:v>
      </x:c>
      <x:c r="Q19" s="20" t="str">
        <x:v>1</x:v>
      </x:c>
      <x:c r="R19" s="20" t="str">
        <x:v>0</x:v>
      </x:c>
      <x:c r="S19" s="20" t="str">
        <x:v>0</x:v>
      </x:c>
      <x:c r="T19" s="20" t="str">
        <x:v>0</x:v>
      </x:c>
      <x:c r="U19" s="20" t="str">
        <x:v>0</x:v>
      </x:c>
      <x:c r="V19" s="20" t="str">
        <x:v>0</x:v>
      </x:c>
      <x:c r="W19" s="20" t="str">
        <x:v>0</x:v>
      </x:c>
      <x:c r="X19" s="20" t="str">
        <x:v>0</x:v>
      </x:c>
      <x:c r="Y19" s="20" t="str">
        <x:v>0</x:v>
      </x:c>
      <x:c r="Z19" s="20" t="str">
        <x:v>0</x:v>
      </x:c>
      <x:c r="AA19" s="20" t="str">
        <x:v>0</x:v>
      </x:c>
      <x:c r="AB19" s="20" t="str">
        <x:v>0</x:v>
      </x:c>
      <x:c r="AC19" s="20" t="str">
        <x:v>0</x:v>
      </x:c>
      <x:c r="AD19" s="20" t="str">
        <x:v>0</x:v>
      </x:c>
      <x:c r="AE19" s="20" t="str">
        <x:v>0</x:v>
      </x:c>
    </x:row>
    <x:row r="20">
      <x:c r="A20" s="20" t="str">
        <x:v>grabar2018_clear_medical_french</x:v>
      </x:c>
      <x:c r="B20" s="20" t="str">
        <x:v>2018</x:v>
      </x:c>
      <x:c r="C20" s="20" t="str">
        <x:v>CLEAR: A Corpus for Medical French Text Simplification</x:v>
      </x:c>
      <x:c r="D20" s="20" t="str">
        <x:v>01_Core_Clinical_TS</x:v>
      </x:c>
      <x:c r="E20" s="20" t="str">
        <x:v>0</x:v>
      </x:c>
      <x:c r="F20" s="20" t="str">
        <x:v>0</x:v>
      </x:c>
      <x:c r="G20" s="20" t="str">
        <x:v>0</x:v>
      </x:c>
      <x:c r="H20" s="20" t="str">
        <x:v>0</x:v>
      </x:c>
      <x:c r="I20" s="20" t="str">
        <x:v>0</x:v>
      </x:c>
      <x:c r="J20" s="20" t="str">
        <x:v>0</x:v>
      </x:c>
      <x:c r="K20" s="20" t="str">
        <x:v>0</x:v>
      </x:c>
      <x:c r="L20" s="20" t="str">
        <x:v>0</x:v>
      </x:c>
      <x:c r="M20" s="20" t="str">
        <x:v>0</x:v>
      </x:c>
      <x:c r="N20" s="20" t="str">
        <x:v>0</x:v>
      </x:c>
      <x:c r="O20" s="20" t="str">
        <x:v>0</x:v>
      </x:c>
      <x:c r="P20" s="20" t="str">
        <x:v>0</x:v>
      </x:c>
      <x:c r="Q20" s="20" t="str">
        <x:v>0</x:v>
      </x:c>
      <x:c r="R20" s="20" t="str">
        <x:v>0</x:v>
      </x:c>
      <x:c r="S20" s="20" t="str">
        <x:v>0</x:v>
      </x:c>
      <x:c r="T20" s="20" t="str">
        <x:v>0</x:v>
      </x:c>
      <x:c r="U20" s="20" t="str">
        <x:v>0</x:v>
      </x:c>
      <x:c r="V20" s="20" t="str">
        <x:v>0</x:v>
      </x:c>
      <x:c r="W20" s="20" t="str">
        <x:v>1</x:v>
      </x:c>
      <x:c r="X20" s="20" t="str">
        <x:v>0</x:v>
      </x:c>
      <x:c r="Y20" s="20" t="str">
        <x:v>0</x:v>
      </x:c>
      <x:c r="Z20" s="20" t="str">
        <x:v>0</x:v>
      </x:c>
      <x:c r="AA20" s="20" t="str">
        <x:v>0</x:v>
      </x:c>
      <x:c r="AB20" s="20" t="str">
        <x:v>0</x:v>
      </x:c>
      <x:c r="AC20" s="20" t="str">
        <x:v>0</x:v>
      </x:c>
      <x:c r="AD20" s="20" t="str">
        <x:v>0</x:v>
      </x:c>
      <x:c r="AE20" s="20" t="str">
        <x:v>0</x:v>
      </x:c>
    </x:row>
    <x:row r="21">
      <x:c r="A21" s="20" t="str">
        <x:v>cardon2020_french_biomedical_text</x:v>
      </x:c>
      <x:c r="B21" s="20" t="str">
        <x:v>2020</x:v>
      </x:c>
      <x:c r="C21" s="20" t="str">
        <x:v>French Biomedical Text Simplification: When Small and Precise Helps</x:v>
      </x:c>
      <x:c r="D21" s="20" t="str">
        <x:v>01_Core_Clinical_TS</x:v>
      </x:c>
      <x:c r="E21" s="20" t="str">
        <x:v>0</x:v>
      </x:c>
      <x:c r="F21" s="20" t="str">
        <x:v>0</x:v>
      </x:c>
      <x:c r="G21" s="20" t="str">
        <x:v>0</x:v>
      </x:c>
      <x:c r="H21" s="20" t="str">
        <x:v>0</x:v>
      </x:c>
      <x:c r="I21" s="20" t="str">
        <x:v>0</x:v>
      </x:c>
      <x:c r="J21" s="20" t="str">
        <x:v>0</x:v>
      </x:c>
      <x:c r="K21" s="20" t="str">
        <x:v>0</x:v>
      </x:c>
      <x:c r="L21" s="20" t="str">
        <x:v>0</x:v>
      </x:c>
      <x:c r="M21" s="20" t="str">
        <x:v>0</x:v>
      </x:c>
      <x:c r="N21" s="20" t="str">
        <x:v>0</x:v>
      </x:c>
      <x:c r="O21" s="20" t="str">
        <x:v>0</x:v>
      </x:c>
      <x:c r="P21" s="20" t="str">
        <x:v>0</x:v>
      </x:c>
      <x:c r="Q21" s="20" t="str">
        <x:v>0</x:v>
      </x:c>
      <x:c r="R21" s="20" t="str">
        <x:v>0</x:v>
      </x:c>
      <x:c r="S21" s="20" t="str">
        <x:v>0</x:v>
      </x:c>
      <x:c r="T21" s="20" t="str">
        <x:v>0</x:v>
      </x:c>
      <x:c r="U21" s="20" t="str">
        <x:v>0</x:v>
      </x:c>
      <x:c r="V21" s="20" t="str">
        <x:v>0</x:v>
      </x:c>
      <x:c r="W21" s="20" t="str">
        <x:v>1</x:v>
      </x:c>
      <x:c r="X21" s="20" t="str">
        <x:v>0</x:v>
      </x:c>
      <x:c r="Y21" s="20" t="str">
        <x:v>0</x:v>
      </x:c>
      <x:c r="Z21" s="20" t="str">
        <x:v>0</x:v>
      </x:c>
      <x:c r="AA21" s="20" t="str">
        <x:v>0</x:v>
      </x:c>
      <x:c r="AB21" s="20" t="str">
        <x:v>0</x:v>
      </x:c>
      <x:c r="AC21" s="20" t="str">
        <x:v>0</x:v>
      </x:c>
      <x:c r="AD21" s="20" t="str">
        <x:v>0</x:v>
      </x:c>
      <x:c r="AE21" s="20" t="str">
        <x:v>0</x:v>
      </x:c>
    </x:row>
    <x:row r="22">
      <x:c r="A22" s="20" t="str">
        <x:v>aziz2025_banglahealth_bengali_paraphrase</x:v>
      </x:c>
      <x:c r="B22" s="20" t="str">
        <x:v>2025</x:v>
      </x:c>
      <x:c r="C22" s="20" t="str">
        <x:v>BanglaHealth: A Bengali Paraphrase Dataset on Health Domain</x:v>
      </x:c>
      <x:c r="D22" s="20" t="str">
        <x:v>03_Adjacent_Bangla_NLP</x:v>
      </x:c>
      <x:c r="E22" s="20" t="str">
        <x:v>0</x:v>
      </x:c>
      <x:c r="F22" s="20" t="str">
        <x:v>0</x:v>
      </x:c>
      <x:c r="G22" s="20" t="str">
        <x:v>0</x:v>
      </x:c>
      <x:c r="H22" s="20" t="str">
        <x:v>0</x:v>
      </x:c>
      <x:c r="I22" s="20" t="str">
        <x:v>0</x:v>
      </x:c>
      <x:c r="J22" s="20" t="str">
        <x:v>0</x:v>
      </x:c>
      <x:c r="K22" s="20" t="str">
        <x:v>0</x:v>
      </x:c>
      <x:c r="L22" s="20" t="str">
        <x:v>0</x:v>
      </x:c>
      <x:c r="M22" s="20" t="str">
        <x:v>0</x:v>
      </x:c>
      <x:c r="N22" s="20" t="str">
        <x:v>0</x:v>
      </x:c>
      <x:c r="O22" s="20" t="str">
        <x:v>0</x:v>
      </x:c>
      <x:c r="P22" s="20" t="str">
        <x:v>0</x:v>
      </x:c>
      <x:c r="Q22" s="20" t="str">
        <x:v>0</x:v>
      </x:c>
      <x:c r="R22" s="20" t="str">
        <x:v>0</x:v>
      </x:c>
      <x:c r="S22" s="20" t="str">
        <x:v>0</x:v>
      </x:c>
      <x:c r="T22" s="20" t="str">
        <x:v>0</x:v>
      </x:c>
      <x:c r="U22" s="20" t="str">
        <x:v>0</x:v>
      </x:c>
      <x:c r="V22" s="20" t="str">
        <x:v>0</x:v>
      </x:c>
      <x:c r="W22" s="20" t="str">
        <x:v>1</x:v>
      </x:c>
      <x:c r="X22" s="20" t="str">
        <x:v>0</x:v>
      </x:c>
      <x:c r="Y22" s="20" t="str">
        <x:v>0</x:v>
      </x:c>
      <x:c r="Z22" s="20" t="str">
        <x:v>0</x:v>
      </x:c>
      <x:c r="AA22" s="20" t="str">
        <x:v>0</x:v>
      </x:c>
      <x:c r="AB22" s="20" t="str">
        <x:v>0</x:v>
      </x:c>
      <x:c r="AC22" s="20" t="str">
        <x:v>0</x:v>
      </x:c>
      <x:c r="AD22" s="20" t="str">
        <x:v>0</x:v>
      </x:c>
      <x:c r="AE22" s="20" t="str">
        <x:v>0</x:v>
      </x:c>
    </x:row>
    <x:row r="23">
      <x:c r="A23" s="20" t="str">
        <x:v>khan2023_banglachq_summ_abstractive</x:v>
      </x:c>
      <x:c r="B23" s="20" t="str">
        <x:v>2023</x:v>
      </x:c>
      <x:c r="C23" s="20" t="str">
        <x:v>BanglaCHQ-Summ: An Abstractive Summarization Dataset for Medical Queries in Bangla Conversational Speech</x:v>
      </x:c>
      <x:c r="D23" s="20" t="str">
        <x:v>03_Adjacent_Bangla_NLP</x:v>
      </x:c>
      <x:c r="E23" s="20" t="str">
        <x:v>0</x:v>
      </x:c>
      <x:c r="F23" s="20" t="str">
        <x:v>0</x:v>
      </x:c>
      <x:c r="G23" s="20" t="str">
        <x:v>0</x:v>
      </x:c>
      <x:c r="H23" s="20" t="str">
        <x:v>0</x:v>
      </x:c>
      <x:c r="I23" s="20" t="str">
        <x:v>0</x:v>
      </x:c>
      <x:c r="J23" s="20" t="str">
        <x:v>0</x:v>
      </x:c>
      <x:c r="K23" s="20" t="str">
        <x:v>0</x:v>
      </x:c>
      <x:c r="L23" s="20" t="str">
        <x:v>0</x:v>
      </x:c>
      <x:c r="M23" s="20" t="str">
        <x:v>0</x:v>
      </x:c>
      <x:c r="N23" s="20" t="str">
        <x:v>0</x:v>
      </x:c>
      <x:c r="O23" s="20" t="str">
        <x:v>0</x:v>
      </x:c>
      <x:c r="P23" s="20" t="str">
        <x:v>0</x:v>
      </x:c>
      <x:c r="Q23" s="20" t="str">
        <x:v>1</x:v>
      </x:c>
      <x:c r="R23" s="20" t="str">
        <x:v>0</x:v>
      </x:c>
      <x:c r="S23" s="20" t="str">
        <x:v>0</x:v>
      </x:c>
      <x:c r="T23" s="20" t="str">
        <x:v>0</x:v>
      </x:c>
      <x:c r="U23" s="20" t="str">
        <x:v>0</x:v>
      </x:c>
      <x:c r="V23" s="20" t="str">
        <x:v>0</x:v>
      </x:c>
      <x:c r="W23" s="20" t="str">
        <x:v>0</x:v>
      </x:c>
      <x:c r="X23" s="20" t="str">
        <x:v>0</x:v>
      </x:c>
      <x:c r="Y23" s="20" t="str">
        <x:v>0</x:v>
      </x:c>
      <x:c r="Z23" s="20" t="str">
        <x:v>0</x:v>
      </x:c>
      <x:c r="AA23" s="20" t="str">
        <x:v>0</x:v>
      </x:c>
      <x:c r="AB23" s="20" t="str">
        <x:v>0</x:v>
      </x:c>
      <x:c r="AC23" s="20" t="str">
        <x:v>0</x:v>
      </x:c>
      <x:c r="AD23" s="20" t="str">
        <x:v>0</x:v>
      </x:c>
      <x:c r="AE23" s="20" t="str">
        <x:v>0</x:v>
      </x:c>
    </x:row>
    <x:row r="24">
      <x:c r="A24" s="20" t="str">
        <x:v>khan2023_nervous_about_my</x:v>
      </x:c>
      <x:c r="B24" s="20" t="str">
        <x:v>2023</x:v>
      </x:c>
      <x:c r="C24" s="20" t="str">
        <x:v>NERvous About My Health: Constructing a Bengali Medical Named Entity Recognition Dataset</x:v>
      </x:c>
      <x:c r="D24" s="20" t="str">
        <x:v>03_Adjacent_Bangla_NLP</x:v>
      </x:c>
      <x:c r="E24" s="20" t="str">
        <x:v>0</x:v>
      </x:c>
      <x:c r="F24" s="20" t="str">
        <x:v>0</x:v>
      </x:c>
      <x:c r="G24" s="20" t="str">
        <x:v>0</x:v>
      </x:c>
      <x:c r="H24" s="20" t="str">
        <x:v>0</x:v>
      </x:c>
      <x:c r="I24" s="20" t="str">
        <x:v>0</x:v>
      </x:c>
      <x:c r="J24" s="20" t="str">
        <x:v>0</x:v>
      </x:c>
      <x:c r="K24" s="20" t="str">
        <x:v>0</x:v>
      </x:c>
      <x:c r="L24" s="20" t="str">
        <x:v>0</x:v>
      </x:c>
      <x:c r="M24" s="20" t="str">
        <x:v>0</x:v>
      </x:c>
      <x:c r="N24" s="20" t="str">
        <x:v>0</x:v>
      </x:c>
      <x:c r="O24" s="20" t="str">
        <x:v>1</x:v>
      </x:c>
      <x:c r="P24" s="20" t="str">
        <x:v>0</x:v>
      </x:c>
      <x:c r="Q24" s="20" t="str">
        <x:v>0</x:v>
      </x:c>
      <x:c r="R24" s="20" t="str">
        <x:v>0</x:v>
      </x:c>
      <x:c r="S24" s="20" t="str">
        <x:v>0</x:v>
      </x:c>
      <x:c r="T24" s="20" t="str">
        <x:v>0</x:v>
      </x:c>
      <x:c r="U24" s="20" t="str">
        <x:v>0</x:v>
      </x:c>
      <x:c r="V24" s="20" t="str">
        <x:v>0</x:v>
      </x:c>
      <x:c r="W24" s="20" t="str">
        <x:v>0</x:v>
      </x:c>
      <x:c r="X24" s="20" t="str">
        <x:v>0</x:v>
      </x:c>
      <x:c r="Y24" s="20" t="str">
        <x:v>0</x:v>
      </x:c>
      <x:c r="Z24" s="20" t="str">
        <x:v>0</x:v>
      </x:c>
      <x:c r="AA24" s="20" t="str">
        <x:v>0</x:v>
      </x:c>
      <x:c r="AB24" s="20" t="str">
        <x:v>0</x:v>
      </x:c>
      <x:c r="AC24" s="20" t="str">
        <x:v>0</x:v>
      </x:c>
      <x:c r="AD24" s="20" t="str">
        <x:v>0</x:v>
      </x:c>
      <x:c r="AE24" s="20" t="str">
        <x:v>0</x:v>
      </x:c>
    </x:row>
    <x:row r="25">
      <x:c r="A25" s="20" t="str">
        <x:v>islam2026_bangla_meder_multi</x:v>
      </x:c>
      <x:c r="B25" s="20" t="str">
        <x:v>2026</x:v>
      </x:c>
      <x:c r="C25" s="20" t="str">
        <x:v>Bangla-MedER: Multi-BERT Ensemble Approach for the Recognition of Bangla Medical Entities</x:v>
      </x:c>
      <x:c r="D25" s="20" t="str">
        <x:v>03_Adjacent_Bangla_NLP</x:v>
      </x:c>
      <x:c r="E25" s="20" t="str">
        <x:v>0</x:v>
      </x:c>
      <x:c r="F25" s="20" t="str">
        <x:v>0</x:v>
      </x:c>
      <x:c r="G25" s="20" t="str">
        <x:v>0</x:v>
      </x:c>
      <x:c r="H25" s="20" t="str">
        <x:v>0</x:v>
      </x:c>
      <x:c r="I25" s="20" t="str">
        <x:v>0</x:v>
      </x:c>
      <x:c r="J25" s="20" t="str">
        <x:v>0</x:v>
      </x:c>
      <x:c r="K25" s="20" t="str">
        <x:v>0</x:v>
      </x:c>
      <x:c r="L25" s="20" t="str">
        <x:v>0</x:v>
      </x:c>
      <x:c r="M25" s="20" t="str">
        <x:v>0</x:v>
      </x:c>
      <x:c r="N25" s="20" t="str">
        <x:v>0</x:v>
      </x:c>
      <x:c r="O25" s="20" t="str">
        <x:v>1</x:v>
      </x:c>
      <x:c r="P25" s="20" t="str">
        <x:v>0</x:v>
      </x:c>
      <x:c r="Q25" s="20" t="str">
        <x:v>0</x:v>
      </x:c>
      <x:c r="R25" s="20" t="str">
        <x:v>0</x:v>
      </x:c>
      <x:c r="S25" s="20" t="str">
        <x:v>0</x:v>
      </x:c>
      <x:c r="T25" s="20" t="str">
        <x:v>0</x:v>
      </x:c>
      <x:c r="U25" s="20" t="str">
        <x:v>0</x:v>
      </x:c>
      <x:c r="V25" s="20" t="str">
        <x:v>0</x:v>
      </x:c>
      <x:c r="W25" s="20" t="str">
        <x:v>0</x:v>
      </x:c>
      <x:c r="X25" s="20" t="str">
        <x:v>0</x:v>
      </x:c>
      <x:c r="Y25" s="20" t="str">
        <x:v>0</x:v>
      </x:c>
      <x:c r="Z25" s="20" t="str">
        <x:v>0</x:v>
      </x:c>
      <x:c r="AA25" s="20" t="str">
        <x:v>0</x:v>
      </x:c>
      <x:c r="AB25" s="20" t="str">
        <x:v>0</x:v>
      </x:c>
      <x:c r="AC25" s="20" t="str">
        <x:v>0</x:v>
      </x:c>
      <x:c r="AD25" s="20" t="str">
        <x:v>0</x:v>
      </x:c>
      <x:c r="AE25" s="20" t="str">
        <x:v>0</x:v>
      </x:c>
    </x:row>
    <x:row r="26">
      <x:c r="A26" s="20" t="str">
        <x:v>bhattacharjee2022_banglabert_language_pretraining</x:v>
      </x:c>
      <x:c r="B26" s="20" t="str">
        <x:v>2022</x:v>
      </x:c>
      <x:c r="C26" s="20" t="str">
        <x:v>BanglaBERT: Language Model Pretraining and Benchmarks for Low-Resource Language Understanding Evaluation in Bangla</x:v>
      </x:c>
      <x:c r="D26" s="20" t="str">
        <x:v>03_Adjacent_Bangla_NLP</x:v>
      </x:c>
      <x:c r="E26" s="20" t="str">
        <x:v>0</x:v>
      </x:c>
      <x:c r="F26" s="20" t="str">
        <x:v>0</x:v>
      </x:c>
      <x:c r="G26" s="20" t="str">
        <x:v>0</x:v>
      </x:c>
      <x:c r="H26" s="20" t="str">
        <x:v>0</x:v>
      </x:c>
      <x:c r="I26" s="20" t="str">
        <x:v>0</x:v>
      </x:c>
      <x:c r="J26" s="20" t="str">
        <x:v>0</x:v>
      </x:c>
      <x:c r="K26" s="20" t="str">
        <x:v>0</x:v>
      </x:c>
      <x:c r="L26" s="20" t="str">
        <x:v>0</x:v>
      </x:c>
      <x:c r="M26" s="20" t="str">
        <x:v>0</x:v>
      </x:c>
      <x:c r="N26" s="20" t="str">
        <x:v>0</x:v>
      </x:c>
      <x:c r="O26" s="20" t="str">
        <x:v>0</x:v>
      </x:c>
      <x:c r="P26" s="20" t="str">
        <x:v>0</x:v>
      </x:c>
      <x:c r="Q26" s="20" t="str">
        <x:v>0</x:v>
      </x:c>
      <x:c r="R26" s="20" t="str">
        <x:v>0</x:v>
      </x:c>
      <x:c r="S26" s="20" t="str">
        <x:v>0</x:v>
      </x:c>
      <x:c r="T26" s="20" t="str">
        <x:v>0</x:v>
      </x:c>
      <x:c r="U26" s="20" t="str">
        <x:v>0</x:v>
      </x:c>
      <x:c r="V26" s="20" t="str">
        <x:v>0</x:v>
      </x:c>
      <x:c r="W26" s="20" t="str">
        <x:v>1</x:v>
      </x:c>
      <x:c r="X26" s="20" t="str">
        <x:v>0</x:v>
      </x:c>
      <x:c r="Y26" s="20" t="str">
        <x:v>0</x:v>
      </x:c>
      <x:c r="Z26" s="20" t="str">
        <x:v>0</x:v>
      </x:c>
      <x:c r="AA26" s="20" t="str">
        <x:v>0</x:v>
      </x:c>
      <x:c r="AB26" s="20" t="str">
        <x:v>0</x:v>
      </x:c>
      <x:c r="AC26" s="20" t="str">
        <x:v>0</x:v>
      </x:c>
      <x:c r="AD26" s="20" t="str">
        <x:v>0</x:v>
      </x:c>
      <x:c r="AE26" s="20" t="str">
        <x:v>0</x:v>
      </x:c>
    </x:row>
    <x:row r="27">
      <x:c r="A27" s="20" t="str">
        <x:v>das2024_banglat5_banglabert0_pretrained</x:v>
      </x:c>
      <x:c r="B27" s="20" t="str">
        <x:v>2024</x:v>
      </x:c>
      <x:c r="C27" s="20" t="str">
        <x:v>BanglaT5 and BanglaBERT0: Large Pretrained Language Models for Bangla</x:v>
      </x:c>
      <x:c r="D27" s="20" t="str">
        <x:v>03_Adjacent_Bangla_NLP</x:v>
      </x:c>
      <x:c r="E27" s="20" t="str">
        <x:v>0</x:v>
      </x:c>
      <x:c r="F27" s="20" t="str">
        <x:v>0</x:v>
      </x:c>
      <x:c r="G27" s="20" t="str">
        <x:v>0</x:v>
      </x:c>
      <x:c r="H27" s="20" t="str">
        <x:v>0</x:v>
      </x:c>
      <x:c r="I27" s="20" t="str">
        <x:v>0</x:v>
      </x:c>
      <x:c r="J27" s="20" t="str">
        <x:v>0</x:v>
      </x:c>
      <x:c r="K27" s="20" t="str">
        <x:v>0</x:v>
      </x:c>
      <x:c r="L27" s="20" t="str">
        <x:v>0</x:v>
      </x:c>
      <x:c r="M27" s="20" t="str">
        <x:v>0</x:v>
      </x:c>
      <x:c r="N27" s="20" t="str">
        <x:v>0</x:v>
      </x:c>
      <x:c r="O27" s="20" t="str">
        <x:v>0</x:v>
      </x:c>
      <x:c r="P27" s="20" t="str">
        <x:v>0</x:v>
      </x:c>
      <x:c r="Q27" s="20" t="str">
        <x:v>0</x:v>
      </x:c>
      <x:c r="R27" s="20" t="str">
        <x:v>0</x:v>
      </x:c>
      <x:c r="S27" s="20" t="str">
        <x:v>0</x:v>
      </x:c>
      <x:c r="T27" s="20" t="str">
        <x:v>0</x:v>
      </x:c>
      <x:c r="U27" s="20" t="str">
        <x:v>0</x:v>
      </x:c>
      <x:c r="V27" s="20" t="str">
        <x:v>0</x:v>
      </x:c>
      <x:c r="W27" s="20" t="str">
        <x:v>1</x:v>
      </x:c>
      <x:c r="X27" s="20" t="str">
        <x:v>0</x:v>
      </x:c>
      <x:c r="Y27" s="20" t="str">
        <x:v>0</x:v>
      </x:c>
      <x:c r="Z27" s="20" t="str">
        <x:v>0</x:v>
      </x:c>
      <x:c r="AA27" s="20" t="str">
        <x:v>0</x:v>
      </x:c>
      <x:c r="AB27" s="20" t="str">
        <x:v>0</x:v>
      </x:c>
      <x:c r="AC27" s="20" t="str">
        <x:v>0</x:v>
      </x:c>
      <x:c r="AD27" s="20" t="str">
        <x:v>0</x:v>
      </x:c>
      <x:c r="AE27" s="20" t="str">
        <x:v>0</x:v>
      </x:c>
    </x:row>
    <x:row r="28">
      <x:c r="A28" s="20" t="str">
        <x:v>mahtab2025_benchmark_context_driven</x:v>
      </x:c>
      <x:c r="B28" s="20" t="str">
        <x:v>2025</x:v>
      </x:c>
      <x:c r="C28" s="20" t="str">
        <x:v>A Benchmark Dataset and Context-Driven Approach for Bangla Named Entity Recognition</x:v>
      </x:c>
      <x:c r="D28" s="20" t="str">
        <x:v>03_Adjacent_Bangla_NLP</x:v>
      </x:c>
      <x:c r="E28" s="20" t="str">
        <x:v>0</x:v>
      </x:c>
      <x:c r="F28" s="20" t="str">
        <x:v>0</x:v>
      </x:c>
      <x:c r="G28" s="20" t="str">
        <x:v>0</x:v>
      </x:c>
      <x:c r="H28" s="20" t="str">
        <x:v>0</x:v>
      </x:c>
      <x:c r="I28" s="20" t="str">
        <x:v>0</x:v>
      </x:c>
      <x:c r="J28" s="20" t="str">
        <x:v>0</x:v>
      </x:c>
      <x:c r="K28" s="20" t="str">
        <x:v>0</x:v>
      </x:c>
      <x:c r="L28" s="20" t="str">
        <x:v>0</x:v>
      </x:c>
      <x:c r="M28" s="20" t="str">
        <x:v>0</x:v>
      </x:c>
      <x:c r="N28" s="20" t="str">
        <x:v>0</x:v>
      </x:c>
      <x:c r="O28" s="20" t="str">
        <x:v>1</x:v>
      </x:c>
      <x:c r="P28" s="20" t="str">
        <x:v>0</x:v>
      </x:c>
      <x:c r="Q28" s="20" t="str">
        <x:v>0</x:v>
      </x:c>
      <x:c r="R28" s="20" t="str">
        <x:v>0</x:v>
      </x:c>
      <x:c r="S28" s="20" t="str">
        <x:v>0</x:v>
      </x:c>
      <x:c r="T28" s="20" t="str">
        <x:v>0</x:v>
      </x:c>
      <x:c r="U28" s="20" t="str">
        <x:v>0</x:v>
      </x:c>
      <x:c r="V28" s="20" t="str">
        <x:v>0</x:v>
      </x:c>
      <x:c r="W28" s="20" t="str">
        <x:v>0</x:v>
      </x:c>
      <x:c r="X28" s="20" t="str">
        <x:v>0</x:v>
      </x:c>
      <x:c r="Y28" s="20" t="str">
        <x:v>0</x:v>
      </x:c>
      <x:c r="Z28" s="20" t="str">
        <x:v>0</x:v>
      </x:c>
      <x:c r="AA28" s="20" t="str">
        <x:v>0</x:v>
      </x:c>
      <x:c r="AB28" s="20" t="str">
        <x:v>0</x:v>
      </x:c>
      <x:c r="AC28" s="20" t="str">
        <x:v>0</x:v>
      </x:c>
      <x:c r="AD28" s="20" t="str">
        <x:v>0</x:v>
      </x:c>
      <x:c r="AE28" s="20" t="str">
        <x:v>0</x:v>
      </x:c>
    </x:row>
    <x:row r="29">
      <x:c r="A29" s="20" t="str">
        <x:v>ekbal2008_bengali_named_entity</x:v>
      </x:c>
      <x:c r="B29" s="20" t="str">
        <x:v>2008</x:v>
      </x:c>
      <x:c r="C29" s="20" t="str">
        <x:v>Bengali Named Entity Recognition Using Support Vector Machine</x:v>
      </x:c>
      <x:c r="D29" s="20" t="str">
        <x:v>03_Adjacent_Bangla_NLP</x:v>
      </x:c>
      <x:c r="E29" s="20" t="str">
        <x:v>0</x:v>
      </x:c>
      <x:c r="F29" s="20" t="str">
        <x:v>0</x:v>
      </x:c>
      <x:c r="G29" s="20" t="str">
        <x:v>0</x:v>
      </x:c>
      <x:c r="H29" s="20" t="str">
        <x:v>0</x:v>
      </x:c>
      <x:c r="I29" s="20" t="str">
        <x:v>0</x:v>
      </x:c>
      <x:c r="J29" s="20" t="str">
        <x:v>0</x:v>
      </x:c>
      <x:c r="K29" s="20" t="str">
        <x:v>0</x:v>
      </x:c>
      <x:c r="L29" s="20" t="str">
        <x:v>0</x:v>
      </x:c>
      <x:c r="M29" s="20" t="str">
        <x:v>0</x:v>
      </x:c>
      <x:c r="N29" s="20" t="str">
        <x:v>0</x:v>
      </x:c>
      <x:c r="O29" s="20" t="str">
        <x:v>1</x:v>
      </x:c>
      <x:c r="P29" s="20" t="str">
        <x:v>0</x:v>
      </x:c>
      <x:c r="Q29" s="20" t="str">
        <x:v>0</x:v>
      </x:c>
      <x:c r="R29" s="20" t="str">
        <x:v>0</x:v>
      </x:c>
      <x:c r="S29" s="20" t="str">
        <x:v>0</x:v>
      </x:c>
      <x:c r="T29" s="20" t="str">
        <x:v>0</x:v>
      </x:c>
      <x:c r="U29" s="20" t="str">
        <x:v>0</x:v>
      </x:c>
      <x:c r="V29" s="20" t="str">
        <x:v>0</x:v>
      </x:c>
      <x:c r="W29" s="20" t="str">
        <x:v>0</x:v>
      </x:c>
      <x:c r="X29" s="20" t="str">
        <x:v>0</x:v>
      </x:c>
      <x:c r="Y29" s="20" t="str">
        <x:v>0</x:v>
      </x:c>
      <x:c r="Z29" s="20" t="str">
        <x:v>0</x:v>
      </x:c>
      <x:c r="AA29" s="20" t="str">
        <x:v>0</x:v>
      </x:c>
      <x:c r="AB29" s="20" t="str">
        <x:v>0</x:v>
      </x:c>
      <x:c r="AC29" s="20" t="str">
        <x:v>0</x:v>
      </x:c>
      <x:c r="AD29" s="20" t="str">
        <x:v>0</x:v>
      </x:c>
      <x:c r="AE29" s="20" t="str">
        <x:v>0</x:v>
      </x:c>
    </x:row>
    <x:row r="30">
      <x:c r="A30" s="20" t="str">
        <x:v>hossain2017_bengali_question_answering</x:v>
      </x:c>
      <x:c r="B30" s="20" t="str">
        <x:v>2017</x:v>
      </x:c>
      <x:c r="C30" s="20" t="str">
        <x:v>A Dataset for Bengali Question Answering in the Health Domain</x:v>
      </x:c>
      <x:c r="D30" s="20" t="str">
        <x:v>03_Adjacent_Bangla_NLP</x:v>
      </x:c>
      <x:c r="E30" s="20" t="str">
        <x:v>0</x:v>
      </x:c>
      <x:c r="F30" s="20" t="str">
        <x:v>0</x:v>
      </x:c>
      <x:c r="G30" s="20" t="str">
        <x:v>0</x:v>
      </x:c>
      <x:c r="H30" s="20" t="str">
        <x:v>0</x:v>
      </x:c>
      <x:c r="I30" s="20" t="str">
        <x:v>0</x:v>
      </x:c>
      <x:c r="J30" s="20" t="str">
        <x:v>0</x:v>
      </x:c>
      <x:c r="K30" s="20" t="str">
        <x:v>0</x:v>
      </x:c>
      <x:c r="L30" s="20" t="str">
        <x:v>0</x:v>
      </x:c>
      <x:c r="M30" s="20" t="str">
        <x:v>0</x:v>
      </x:c>
      <x:c r="N30" s="20" t="str">
        <x:v>0</x:v>
      </x:c>
      <x:c r="O30" s="20" t="str">
        <x:v>1</x:v>
      </x:c>
      <x:c r="P30" s="20" t="str">
        <x:v>0</x:v>
      </x:c>
      <x:c r="Q30" s="20" t="str">
        <x:v>0</x:v>
      </x:c>
      <x:c r="R30" s="20" t="str">
        <x:v>0</x:v>
      </x:c>
      <x:c r="S30" s="20" t="str">
        <x:v>0</x:v>
      </x:c>
      <x:c r="T30" s="20" t="str">
        <x:v>0</x:v>
      </x:c>
      <x:c r="U30" s="20" t="str">
        <x:v>0</x:v>
      </x:c>
      <x:c r="V30" s="20" t="str">
        <x:v>0</x:v>
      </x:c>
      <x:c r="W30" s="20" t="str">
        <x:v>0</x:v>
      </x:c>
      <x:c r="X30" s="20" t="str">
        <x:v>0</x:v>
      </x:c>
      <x:c r="Y30" s="20" t="str">
        <x:v>0</x:v>
      </x:c>
      <x:c r="Z30" s="20" t="str">
        <x:v>0</x:v>
      </x:c>
      <x:c r="AA30" s="20" t="str">
        <x:v>0</x:v>
      </x:c>
      <x:c r="AB30" s="20" t="str">
        <x:v>0</x:v>
      </x:c>
      <x:c r="AC30" s="20" t="str">
        <x:v>0</x:v>
      </x:c>
      <x:c r="AD30" s="20" t="str">
        <x:v>0</x:v>
      </x:c>
      <x:c r="AE30" s="20" t="str">
        <x:v>0</x:v>
      </x:c>
    </x:row>
    <x:row r="31">
      <x:c r="A31" s="20" t="str">
        <x:v>laskar2023_benllmeval_comprehensive_evaluation</x:v>
      </x:c>
      <x:c r="B31" s="20" t="str">
        <x:v>2023</x:v>
      </x:c>
      <x:c r="C31" s="20" t="str">
        <x:v>BenLLMEval: A Comprehensive Evaluation into the Potentials and Pitfalls of Large Language Models on Bengali NLP</x:v>
      </x:c>
      <x:c r="D31" s="20" t="str">
        <x:v>03_Adjacent_Bangla_NLP</x:v>
      </x:c>
      <x:c r="E31" s="20" t="str">
        <x:v>0</x:v>
      </x:c>
      <x:c r="F31" s="20" t="str">
        <x:v>0</x:v>
      </x:c>
      <x:c r="G31" s="20" t="str">
        <x:v>0</x:v>
      </x:c>
      <x:c r="H31" s="20" t="str">
        <x:v>0</x:v>
      </x:c>
      <x:c r="I31" s="20" t="str">
        <x:v>0</x:v>
      </x:c>
      <x:c r="J31" s="20" t="str">
        <x:v>0</x:v>
      </x:c>
      <x:c r="K31" s="20" t="str">
        <x:v>0</x:v>
      </x:c>
      <x:c r="L31" s="20" t="str">
        <x:v>0</x:v>
      </x:c>
      <x:c r="M31" s="20" t="str">
        <x:v>0</x:v>
      </x:c>
      <x:c r="N31" s="20" t="str">
        <x:v>0</x:v>
      </x:c>
      <x:c r="O31" s="20" t="str">
        <x:v>0</x:v>
      </x:c>
      <x:c r="P31" s="20" t="str">
        <x:v>0</x:v>
      </x:c>
      <x:c r="Q31" s="20" t="str">
        <x:v>0</x:v>
      </x:c>
      <x:c r="R31" s="20" t="str">
        <x:v>0</x:v>
      </x:c>
      <x:c r="S31" s="20" t="str">
        <x:v>0</x:v>
      </x:c>
      <x:c r="T31" s="20" t="str">
        <x:v>0</x:v>
      </x:c>
      <x:c r="U31" s="20" t="str">
        <x:v>0</x:v>
      </x:c>
      <x:c r="V31" s="20" t="str">
        <x:v>0</x:v>
      </x:c>
      <x:c r="W31" s="20" t="str">
        <x:v>1</x:v>
      </x:c>
      <x:c r="X31" s="20" t="str">
        <x:v>0</x:v>
      </x:c>
      <x:c r="Y31" s="20" t="str">
        <x:v>0</x:v>
      </x:c>
      <x:c r="Z31" s="20" t="str">
        <x:v>0</x:v>
      </x:c>
      <x:c r="AA31" s="20" t="str">
        <x:v>0</x:v>
      </x:c>
      <x:c r="AB31" s="20" t="str">
        <x:v>0</x:v>
      </x:c>
      <x:c r="AC31" s="20" t="str">
        <x:v>0</x:v>
      </x:c>
      <x:c r="AD31" s="20" t="str">
        <x:v>0</x:v>
      </x:c>
      <x:c r="AE31" s="20" t="str">
        <x:v>0</x:v>
      </x:c>
    </x:row>
    <x:row r="32">
      <x:c r="A32" s="20" t="str">
        <x:v>kakwani2020_indicnlpsuite_monolingual_corpora</x:v>
      </x:c>
      <x:c r="B32" s="20" t="str">
        <x:v>2020</x:v>
      </x:c>
      <x:c r="C32" s="20" t="str">
        <x:v>IndicNLPSuite: Monolingual Corpora, Evaluation Benchmarks and Pre-trained Multilingual Language Models for Indian Languages</x:v>
      </x:c>
      <x:c r="D32" s="20" t="str">
        <x:v>03_Adjacent_Bangla_NLP</x:v>
      </x:c>
      <x:c r="E32" s="20" t="str">
        <x:v>0</x:v>
      </x:c>
      <x:c r="F32" s="20" t="str">
        <x:v>0</x:v>
      </x:c>
      <x:c r="G32" s="20" t="str">
        <x:v>0</x:v>
      </x:c>
      <x:c r="H32" s="20" t="str">
        <x:v>0</x:v>
      </x:c>
      <x:c r="I32" s="20" t="str">
        <x:v>0</x:v>
      </x:c>
      <x:c r="J32" s="20" t="str">
        <x:v>0</x:v>
      </x:c>
      <x:c r="K32" s="20" t="str">
        <x:v>0</x:v>
      </x:c>
      <x:c r="L32" s="20" t="str">
        <x:v>0</x:v>
      </x:c>
      <x:c r="M32" s="20" t="str">
        <x:v>0</x:v>
      </x:c>
      <x:c r="N32" s="20" t="str">
        <x:v>0</x:v>
      </x:c>
      <x:c r="O32" s="20" t="str">
        <x:v>0</x:v>
      </x:c>
      <x:c r="P32" s="20" t="str">
        <x:v>0</x:v>
      </x:c>
      <x:c r="Q32" s="20" t="str">
        <x:v>0</x:v>
      </x:c>
      <x:c r="R32" s="20" t="str">
        <x:v>0</x:v>
      </x:c>
      <x:c r="S32" s="20" t="str">
        <x:v>0</x:v>
      </x:c>
      <x:c r="T32" s="20" t="str">
        <x:v>0</x:v>
      </x:c>
      <x:c r="U32" s="20" t="str">
        <x:v>0</x:v>
      </x:c>
      <x:c r="V32" s="20" t="str">
        <x:v>0</x:v>
      </x:c>
      <x:c r="W32" s="20" t="str">
        <x:v>1</x:v>
      </x:c>
      <x:c r="X32" s="20" t="str">
        <x:v>0</x:v>
      </x:c>
      <x:c r="Y32" s="20" t="str">
        <x:v>0</x:v>
      </x:c>
      <x:c r="Z32" s="20" t="str">
        <x:v>0</x:v>
      </x:c>
      <x:c r="AA32" s="20" t="str">
        <x:v>0</x:v>
      </x:c>
      <x:c r="AB32" s="20" t="str">
        <x:v>0</x:v>
      </x:c>
      <x:c r="AC32" s="20" t="str">
        <x:v>0</x:v>
      </x:c>
      <x:c r="AD32" s="20" t="str">
        <x:v>0</x:v>
      </x:c>
      <x:c r="AE32" s="20" t="str">
        <x:v>0</x:v>
      </x:c>
    </x:row>
    <x:row r="33">
      <x:c r="A33" s="20" t="str">
        <x:v>ramesh2022_samanantar_largest_publicly</x:v>
      </x:c>
      <x:c r="B33" s="20" t="str">
        <x:v>2022</x:v>
      </x:c>
      <x:c r="C33" s="20" t="str">
        <x:v>Samanantar: The Largest Publicly Available Parallel Corpora Collection for 11 Indic Languages</x:v>
      </x:c>
      <x:c r="D33" s="20" t="str">
        <x:v>03_Adjacent_Bangla_NLP</x:v>
      </x:c>
      <x:c r="E33" s="20" t="str">
        <x:v>0</x:v>
      </x:c>
      <x:c r="F33" s="20" t="str">
        <x:v>0</x:v>
      </x:c>
      <x:c r="G33" s="20" t="str">
        <x:v>0</x:v>
      </x:c>
      <x:c r="H33" s="20" t="str">
        <x:v>0</x:v>
      </x:c>
      <x:c r="I33" s="20" t="str">
        <x:v>0</x:v>
      </x:c>
      <x:c r="J33" s="20" t="str">
        <x:v>0</x:v>
      </x:c>
      <x:c r="K33" s="20" t="str">
        <x:v>0</x:v>
      </x:c>
      <x:c r="L33" s="20" t="str">
        <x:v>0</x:v>
      </x:c>
      <x:c r="M33" s="20" t="str">
        <x:v>0</x:v>
      </x:c>
      <x:c r="N33" s="20" t="str">
        <x:v>0</x:v>
      </x:c>
      <x:c r="O33" s="20" t="str">
        <x:v>0</x:v>
      </x:c>
      <x:c r="P33" s="20" t="str">
        <x:v>0</x:v>
      </x:c>
      <x:c r="Q33" s="20" t="str">
        <x:v>0</x:v>
      </x:c>
      <x:c r="R33" s="20" t="str">
        <x:v>0</x:v>
      </x:c>
      <x:c r="S33" s="20" t="str">
        <x:v>0</x:v>
      </x:c>
      <x:c r="T33" s="20" t="str">
        <x:v>0</x:v>
      </x:c>
      <x:c r="U33" s="20" t="str">
        <x:v>0</x:v>
      </x:c>
      <x:c r="V33" s="20" t="str">
        <x:v>0</x:v>
      </x:c>
      <x:c r="W33" s="20" t="str">
        <x:v>1</x:v>
      </x:c>
      <x:c r="X33" s="20" t="str">
        <x:v>0</x:v>
      </x:c>
      <x:c r="Y33" s="20" t="str">
        <x:v>0</x:v>
      </x:c>
      <x:c r="Z33" s="20" t="str">
        <x:v>0</x:v>
      </x:c>
      <x:c r="AA33" s="20" t="str">
        <x:v>0</x:v>
      </x:c>
      <x:c r="AB33" s="20" t="str">
        <x:v>0</x:v>
      </x:c>
      <x:c r="AC33" s="20" t="str">
        <x:v>0</x:v>
      </x:c>
      <x:c r="AD33" s="20" t="str">
        <x:v>0</x:v>
      </x:c>
      <x:c r="AE33" s="20" t="str">
        <x:v>0</x:v>
      </x:c>
    </x:row>
    <x:row r="34">
      <x:c r="A34" s="20" t="str">
        <x:v>doddapaneni2023_indictrans2_high_quality</x:v>
      </x:c>
      <x:c r="B34" s="20" t="str">
        <x:v>2023</x:v>
      </x:c>
      <x:c r="C34" s="20" t="str">
        <x:v>IndicTrans2: Towards High-Quality and Accessible Machine Translation Models for all 22 Scheduled Indian Languages</x:v>
      </x:c>
      <x:c r="D34" s="20" t="str">
        <x:v>03_Adjacent_Bangla_NLP</x:v>
      </x:c>
      <x:c r="E34" s="20" t="str">
        <x:v>0</x:v>
      </x:c>
      <x:c r="F34" s="20" t="str">
        <x:v>0</x:v>
      </x:c>
      <x:c r="G34" s="20" t="str">
        <x:v>0</x:v>
      </x:c>
      <x:c r="H34" s="20" t="str">
        <x:v>0</x:v>
      </x:c>
      <x:c r="I34" s="20" t="str">
        <x:v>0</x:v>
      </x:c>
      <x:c r="J34" s="20" t="str">
        <x:v>0</x:v>
      </x:c>
      <x:c r="K34" s="20" t="str">
        <x:v>0</x:v>
      </x:c>
      <x:c r="L34" s="20" t="str">
        <x:v>0</x:v>
      </x:c>
      <x:c r="M34" s="20" t="str">
        <x:v>0</x:v>
      </x:c>
      <x:c r="N34" s="20" t="str">
        <x:v>0</x:v>
      </x:c>
      <x:c r="O34" s="20" t="str">
        <x:v>0</x:v>
      </x:c>
      <x:c r="P34" s="20" t="str">
        <x:v>0</x:v>
      </x:c>
      <x:c r="Q34" s="20" t="str">
        <x:v>0</x:v>
      </x:c>
      <x:c r="R34" s="20" t="str">
        <x:v>0</x:v>
      </x:c>
      <x:c r="S34" s="20" t="str">
        <x:v>0</x:v>
      </x:c>
      <x:c r="T34" s="20" t="str">
        <x:v>0</x:v>
      </x:c>
      <x:c r="U34" s="20" t="str">
        <x:v>0</x:v>
      </x:c>
      <x:c r="V34" s="20" t="str">
        <x:v>0</x:v>
      </x:c>
      <x:c r="W34" s="20" t="str">
        <x:v>1</x:v>
      </x:c>
      <x:c r="X34" s="20" t="str">
        <x:v>0</x:v>
      </x:c>
      <x:c r="Y34" s="20" t="str">
        <x:v>0</x:v>
      </x:c>
      <x:c r="Z34" s="20" t="str">
        <x:v>0</x:v>
      </x:c>
      <x:c r="AA34" s="20" t="str">
        <x:v>0</x:v>
      </x:c>
      <x:c r="AB34" s="20" t="str">
        <x:v>0</x:v>
      </x:c>
      <x:c r="AC34" s="20" t="str">
        <x:v>0</x:v>
      </x:c>
      <x:c r="AD34" s="20" t="str">
        <x:v>0</x:v>
      </x:c>
      <x:c r="AE34" s="20" t="str">
        <x:v>0</x:v>
      </x:c>
    </x:row>
    <x:row r="35">
      <x:c r="A35" s="20" t="str">
        <x:v>costajuss2022_no_language_left</x:v>
      </x:c>
      <x:c r="B35" s="20" t="str">
        <x:v>2022</x:v>
      </x:c>
      <x:c r="C35" s="20" t="str">
        <x:v>No Language Left Behind: Scaling Human-Centered Machine Translation</x:v>
      </x:c>
      <x:c r="D35" s="20" t="str">
        <x:v>03_Adjacent_Bangla_NLP</x:v>
      </x:c>
      <x:c r="E35" s="20" t="str">
        <x:v>0</x:v>
      </x:c>
      <x:c r="F35" s="20" t="str">
        <x:v>0</x:v>
      </x:c>
      <x:c r="G35" s="20" t="str">
        <x:v>0</x:v>
      </x:c>
      <x:c r="H35" s="20" t="str">
        <x:v>0</x:v>
      </x:c>
      <x:c r="I35" s="20" t="str">
        <x:v>0</x:v>
      </x:c>
      <x:c r="J35" s="20" t="str">
        <x:v>0</x:v>
      </x:c>
      <x:c r="K35" s="20" t="str">
        <x:v>0</x:v>
      </x:c>
      <x:c r="L35" s="20" t="str">
        <x:v>0</x:v>
      </x:c>
      <x:c r="M35" s="20" t="str">
        <x:v>0</x:v>
      </x:c>
      <x:c r="N35" s="20" t="str">
        <x:v>0</x:v>
      </x:c>
      <x:c r="O35" s="20" t="str">
        <x:v>0</x:v>
      </x:c>
      <x:c r="P35" s="20" t="str">
        <x:v>0</x:v>
      </x:c>
      <x:c r="Q35" s="20" t="str">
        <x:v>0</x:v>
      </x:c>
      <x:c r="R35" s="20" t="str">
        <x:v>0</x:v>
      </x:c>
      <x:c r="S35" s="20" t="str">
        <x:v>0</x:v>
      </x:c>
      <x:c r="T35" s="20" t="str">
        <x:v>0</x:v>
      </x:c>
      <x:c r="U35" s="20" t="str">
        <x:v>0</x:v>
      </x:c>
      <x:c r="V35" s="20" t="str">
        <x:v>0</x:v>
      </x:c>
      <x:c r="W35" s="20" t="str">
        <x:v>1</x:v>
      </x:c>
      <x:c r="X35" s="20" t="str">
        <x:v>0</x:v>
      </x:c>
      <x:c r="Y35" s="20" t="str">
        <x:v>0</x:v>
      </x:c>
      <x:c r="Z35" s="20" t="str">
        <x:v>0</x:v>
      </x:c>
      <x:c r="AA35" s="20" t="str">
        <x:v>0</x:v>
      </x:c>
      <x:c r="AB35" s="20" t="str">
        <x:v>0</x:v>
      </x:c>
      <x:c r="AC35" s="20" t="str">
        <x:v>0</x:v>
      </x:c>
      <x:c r="AD35" s="20" t="str">
        <x:v>0</x:v>
      </x:c>
      <x:c r="AE35" s="20" t="str">
        <x:v>0</x:v>
      </x:c>
    </x:row>
    <x:row r="36">
      <x:c r="A36" s="20" t="str">
        <x:v>dabre2020_multilingual_neural_machine</x:v>
      </x:c>
      <x:c r="B36" s="20" t="str">
        <x:v>2020</x:v>
      </x:c>
      <x:c r="C36" s="20" t="str">
        <x:v>A Survey of Multilingual Neural Machine Translation</x:v>
      </x:c>
      <x:c r="D36" s="20" t="str">
        <x:v>03_Adjacent_Bangla_NLP</x:v>
      </x:c>
      <x:c r="E36" s="20" t="str">
        <x:v>0</x:v>
      </x:c>
      <x:c r="F36" s="20" t="str">
        <x:v>0</x:v>
      </x:c>
      <x:c r="G36" s="20" t="str">
        <x:v>0</x:v>
      </x:c>
      <x:c r="H36" s="20" t="str">
        <x:v>0</x:v>
      </x:c>
      <x:c r="I36" s="20" t="str">
        <x:v>0</x:v>
      </x:c>
      <x:c r="J36" s="20" t="str">
        <x:v>0</x:v>
      </x:c>
      <x:c r="K36" s="20" t="str">
        <x:v>0</x:v>
      </x:c>
      <x:c r="L36" s="20" t="str">
        <x:v>0</x:v>
      </x:c>
      <x:c r="M36" s="20" t="str">
        <x:v>0</x:v>
      </x:c>
      <x:c r="N36" s="20" t="str">
        <x:v>0</x:v>
      </x:c>
      <x:c r="O36" s="20" t="str">
        <x:v>0</x:v>
      </x:c>
      <x:c r="P36" s="20" t="str">
        <x:v>0</x:v>
      </x:c>
      <x:c r="Q36" s="20" t="str">
        <x:v>0</x:v>
      </x:c>
      <x:c r="R36" s="20" t="str">
        <x:v>0</x:v>
      </x:c>
      <x:c r="S36" s="20" t="str">
        <x:v>0</x:v>
      </x:c>
      <x:c r="T36" s="20" t="str">
        <x:v>0</x:v>
      </x:c>
      <x:c r="U36" s="20" t="str">
        <x:v>0</x:v>
      </x:c>
      <x:c r="V36" s="20" t="str">
        <x:v>0</x:v>
      </x:c>
      <x:c r="W36" s="20" t="str">
        <x:v>1</x:v>
      </x:c>
      <x:c r="X36" s="20" t="str">
        <x:v>0</x:v>
      </x:c>
      <x:c r="Y36" s="20" t="str">
        <x:v>0</x:v>
      </x:c>
      <x:c r="Z36" s="20" t="str">
        <x:v>0</x:v>
      </x:c>
      <x:c r="AA36" s="20" t="str">
        <x:v>0</x:v>
      </x:c>
      <x:c r="AB36" s="20" t="str">
        <x:v>0</x:v>
      </x:c>
      <x:c r="AC36" s="20" t="str">
        <x:v>0</x:v>
      </x:c>
      <x:c r="AD36" s="20" t="str">
        <x:v>0</x:v>
      </x:c>
      <x:c r="AE36" s="20" t="str">
        <x:v>0</x:v>
      </x:c>
    </x:row>
    <x:row r="37">
      <x:c r="A37" s="20" t="str">
        <x:v>hasan2020_not_low_resource</x:v>
      </x:c>
      <x:c r="B37" s="20" t="str">
        <x:v>2020</x:v>
      </x:c>
      <x:c r="C37" s="20" t="str">
        <x:v>Not Low-Resource Anymore: Aligner Ensembling, Batch Filtering, and New Datasets for Bengali-English Machine Translation</x:v>
      </x:c>
      <x:c r="D37" s="20" t="str">
        <x:v>03_Adjacent_Bangla_NLP</x:v>
      </x:c>
      <x:c r="E37" s="20" t="str">
        <x:v>0</x:v>
      </x:c>
      <x:c r="F37" s="20" t="str">
        <x:v>0</x:v>
      </x:c>
      <x:c r="G37" s="20" t="str">
        <x:v>0</x:v>
      </x:c>
      <x:c r="H37" s="20" t="str">
        <x:v>0</x:v>
      </x:c>
      <x:c r="I37" s="20" t="str">
        <x:v>0</x:v>
      </x:c>
      <x:c r="J37" s="20" t="str">
        <x:v>0</x:v>
      </x:c>
      <x:c r="K37" s="20" t="str">
        <x:v>0</x:v>
      </x:c>
      <x:c r="L37" s="20" t="str">
        <x:v>0</x:v>
      </x:c>
      <x:c r="M37" s="20" t="str">
        <x:v>0</x:v>
      </x:c>
      <x:c r="N37" s="20" t="str">
        <x:v>0</x:v>
      </x:c>
      <x:c r="O37" s="20" t="str">
        <x:v>0</x:v>
      </x:c>
      <x:c r="P37" s="20" t="str">
        <x:v>0</x:v>
      </x:c>
      <x:c r="Q37" s="20" t="str">
        <x:v>0</x:v>
      </x:c>
      <x:c r="R37" s="20" t="str">
        <x:v>0</x:v>
      </x:c>
      <x:c r="S37" s="20" t="str">
        <x:v>0</x:v>
      </x:c>
      <x:c r="T37" s="20" t="str">
        <x:v>0</x:v>
      </x:c>
      <x:c r="U37" s="20" t="str">
        <x:v>0</x:v>
      </x:c>
      <x:c r="V37" s="20" t="str">
        <x:v>0</x:v>
      </x:c>
      <x:c r="W37" s="20" t="str">
        <x:v>1</x:v>
      </x:c>
      <x:c r="X37" s="20" t="str">
        <x:v>0</x:v>
      </x:c>
      <x:c r="Y37" s="20" t="str">
        <x:v>0</x:v>
      </x:c>
      <x:c r="Z37" s="20" t="str">
        <x:v>0</x:v>
      </x:c>
      <x:c r="AA37" s="20" t="str">
        <x:v>0</x:v>
      </x:c>
      <x:c r="AB37" s="20" t="str">
        <x:v>0</x:v>
      </x:c>
      <x:c r="AC37" s="20" t="str">
        <x:v>0</x:v>
      </x:c>
      <x:c r="AD37" s="20" t="str">
        <x:v>0</x:v>
      </x:c>
      <x:c r="AE37" s="20" t="str">
        <x:v>0</x:v>
      </x:c>
    </x:row>
    <x:row r="38">
      <x:c r="A38" s="20" t="str">
        <x:v>akter2025_banglat5_mhealth_bengali</x:v>
      </x:c>
      <x:c r="B38" s="20" t="str">
        <x:v>2025</x:v>
      </x:c>
      <x:c r="C38" s="20" t="str">
        <x:v>BanglaT5-mHealth: A Bengali Health-Domain Paraphrasing Model</x:v>
      </x:c>
      <x:c r="D38" s="20" t="str">
        <x:v>03_Adjacent_Bangla_NLP</x:v>
      </x:c>
      <x:c r="E38" s="20" t="str">
        <x:v>0</x:v>
      </x:c>
      <x:c r="F38" s="20" t="str">
        <x:v>0</x:v>
      </x:c>
      <x:c r="G38" s="20" t="str">
        <x:v>0</x:v>
      </x:c>
      <x:c r="H38" s="20" t="str">
        <x:v>0</x:v>
      </x:c>
      <x:c r="I38" s="20" t="str">
        <x:v>0</x:v>
      </x:c>
      <x:c r="J38" s="20" t="str">
        <x:v>0</x:v>
      </x:c>
      <x:c r="K38" s="20" t="str">
        <x:v>0</x:v>
      </x:c>
      <x:c r="L38" s="20" t="str">
        <x:v>0</x:v>
      </x:c>
      <x:c r="M38" s="20" t="str">
        <x:v>0</x:v>
      </x:c>
      <x:c r="N38" s="20" t="str">
        <x:v>0</x:v>
      </x:c>
      <x:c r="O38" s="20" t="str">
        <x:v>0</x:v>
      </x:c>
      <x:c r="P38" s="20" t="str">
        <x:v>0</x:v>
      </x:c>
      <x:c r="Q38" s="20" t="str">
        <x:v>0</x:v>
      </x:c>
      <x:c r="R38" s="20" t="str">
        <x:v>0</x:v>
      </x:c>
      <x:c r="S38" s="20" t="str">
        <x:v>0</x:v>
      </x:c>
      <x:c r="T38" s="20" t="str">
        <x:v>0</x:v>
      </x:c>
      <x:c r="U38" s="20" t="str">
        <x:v>0</x:v>
      </x:c>
      <x:c r="V38" s="20" t="str">
        <x:v>0</x:v>
      </x:c>
      <x:c r="W38" s="20" t="str">
        <x:v>1</x:v>
      </x:c>
      <x:c r="X38" s="20" t="str">
        <x:v>0</x:v>
      </x:c>
      <x:c r="Y38" s="20" t="str">
        <x:v>0</x:v>
      </x:c>
      <x:c r="Z38" s="20" t="str">
        <x:v>0</x:v>
      </x:c>
      <x:c r="AA38" s="20" t="str">
        <x:v>0</x:v>
      </x:c>
      <x:c r="AB38" s="20" t="str">
        <x:v>0</x:v>
      </x:c>
      <x:c r="AC38" s="20" t="str">
        <x:v>0</x:v>
      </x:c>
      <x:c r="AD38" s="20" t="str">
        <x:v>0</x:v>
      </x:c>
      <x:c r="AE38" s="20" t="str">
        <x:v>0</x:v>
      </x:c>
    </x:row>
    <x:row r="39">
      <x:c r="A39" s="20" t="str">
        <x:v>maynez2020_faithfulness_factuality_abstractive</x:v>
      </x:c>
      <x:c r="B39" s="20" t="str">
        <x:v>2020</x:v>
      </x:c>
      <x:c r="C39" s="20" t="str">
        <x:v>On Faithfulness and Factuality in Abstractive Summarization</x:v>
      </x:c>
      <x:c r="D39" s="20" t="str">
        <x:v>04_Factuality_Methods</x:v>
      </x:c>
      <x:c r="E39" s="20" t="str">
        <x:v>0</x:v>
      </x:c>
      <x:c r="F39" s="20" t="str">
        <x:v>0</x:v>
      </x:c>
      <x:c r="G39" s="20" t="str">
        <x:v>0</x:v>
      </x:c>
      <x:c r="H39" s="20" t="str">
        <x:v>0</x:v>
      </x:c>
      <x:c r="I39" s="20" t="str">
        <x:v>0</x:v>
      </x:c>
      <x:c r="J39" s="20" t="str">
        <x:v>0</x:v>
      </x:c>
      <x:c r="K39" s="20" t="str">
        <x:v>0</x:v>
      </x:c>
      <x:c r="L39" s="20" t="str">
        <x:v>0</x:v>
      </x:c>
      <x:c r="M39" s="20" t="str">
        <x:v>0</x:v>
      </x:c>
      <x:c r="N39" s="20" t="str">
        <x:v>0</x:v>
      </x:c>
      <x:c r="O39" s="20" t="str">
        <x:v>0</x:v>
      </x:c>
      <x:c r="P39" s="20" t="str">
        <x:v>0</x:v>
      </x:c>
      <x:c r="Q39" s="20" t="str">
        <x:v>1</x:v>
      </x:c>
      <x:c r="R39" s="20" t="str">
        <x:v>0</x:v>
      </x:c>
      <x:c r="S39" s="20" t="str">
        <x:v>0</x:v>
      </x:c>
      <x:c r="T39" s="20" t="str">
        <x:v>0</x:v>
      </x:c>
      <x:c r="U39" s="20" t="str">
        <x:v>0</x:v>
      </x:c>
      <x:c r="V39" s="20" t="str">
        <x:v>0</x:v>
      </x:c>
      <x:c r="W39" s="20" t="str">
        <x:v>0</x:v>
      </x:c>
      <x:c r="X39" s="20" t="str">
        <x:v>0</x:v>
      </x:c>
      <x:c r="Y39" s="20" t="str">
        <x:v>0</x:v>
      </x:c>
      <x:c r="Z39" s="20" t="str">
        <x:v>0</x:v>
      </x:c>
      <x:c r="AA39" s="20" t="str">
        <x:v>0</x:v>
      </x:c>
      <x:c r="AB39" s="20" t="str">
        <x:v>0</x:v>
      </x:c>
      <x:c r="AC39" s="20" t="str">
        <x:v>0</x:v>
      </x:c>
      <x:c r="AD39" s="20" t="str">
        <x:v>0</x:v>
      </x:c>
      <x:c r="AE39" s="20" t="str">
        <x:v>0</x:v>
      </x:c>
    </x:row>
    <x:row r="40">
      <x:c r="A40" s="20" t="str">
        <x:v>pagnoni2021_understanding_factuality_abstractive</x:v>
      </x:c>
      <x:c r="B40" s="20" t="str">
        <x:v>2021</x:v>
      </x:c>
      <x:c r="C40" s="20" t="str">
        <x:v>Understanding Factuality in Abstractive Summarization with FRANK: A Benchmark for Factuality Metrics</x:v>
      </x:c>
      <x:c r="D40" s="20" t="str">
        <x:v>04_Factuality_Methods</x:v>
      </x:c>
      <x:c r="E40" s="20" t="str">
        <x:v>0</x:v>
      </x:c>
      <x:c r="F40" s="20" t="str">
        <x:v>0</x:v>
      </x:c>
      <x:c r="G40" s="20" t="str">
        <x:v>0</x:v>
      </x:c>
      <x:c r="H40" s="20" t="str">
        <x:v>0</x:v>
      </x:c>
      <x:c r="I40" s="20" t="str">
        <x:v>0</x:v>
      </x:c>
      <x:c r="J40" s="20" t="str">
        <x:v>0</x:v>
      </x:c>
      <x:c r="K40" s="20" t="str">
        <x:v>0</x:v>
      </x:c>
      <x:c r="L40" s="20" t="str">
        <x:v>0</x:v>
      </x:c>
      <x:c r="M40" s="20" t="str">
        <x:v>0</x:v>
      </x:c>
      <x:c r="N40" s="20" t="str">
        <x:v>0</x:v>
      </x:c>
      <x:c r="O40" s="20" t="str">
        <x:v>0</x:v>
      </x:c>
      <x:c r="P40" s="20" t="str">
        <x:v>0</x:v>
      </x:c>
      <x:c r="Q40" s="20" t="str">
        <x:v>1</x:v>
      </x:c>
      <x:c r="R40" s="20" t="str">
        <x:v>0</x:v>
      </x:c>
      <x:c r="S40" s="20" t="str">
        <x:v>0</x:v>
      </x:c>
      <x:c r="T40" s="20" t="str">
        <x:v>0</x:v>
      </x:c>
      <x:c r="U40" s="20" t="str">
        <x:v>0</x:v>
      </x:c>
      <x:c r="V40" s="20" t="str">
        <x:v>0</x:v>
      </x:c>
      <x:c r="W40" s="20" t="str">
        <x:v>0</x:v>
      </x:c>
      <x:c r="X40" s="20" t="str">
        <x:v>0</x:v>
      </x:c>
      <x:c r="Y40" s="20" t="str">
        <x:v>0</x:v>
      </x:c>
      <x:c r="Z40" s="20" t="str">
        <x:v>0</x:v>
      </x:c>
      <x:c r="AA40" s="20" t="str">
        <x:v>0</x:v>
      </x:c>
      <x:c r="AB40" s="20" t="str">
        <x:v>0</x:v>
      </x:c>
      <x:c r="AC40" s="20" t="str">
        <x:v>0</x:v>
      </x:c>
      <x:c r="AD40" s="20" t="str">
        <x:v>0</x:v>
      </x:c>
      <x:c r="AE40" s="20" t="str">
        <x:v>0</x:v>
      </x:c>
    </x:row>
    <x:row r="41">
      <x:c r="A41" s="20" t="str">
        <x:v>gabriel2021_go_figure_meta</x:v>
      </x:c>
      <x:c r="B41" s="20" t="str">
        <x:v>2021</x:v>
      </x:c>
      <x:c r="C41" s="20" t="str">
        <x:v>GO FIGURE: A Meta Evaluation of Factuality in Summarization</x:v>
      </x:c>
      <x:c r="D41" s="20" t="str">
        <x:v>04_Factuality_Methods</x:v>
      </x:c>
      <x:c r="E41" s="20" t="str">
        <x:v>0</x:v>
      </x:c>
      <x:c r="F41" s="20" t="str">
        <x:v>0</x:v>
      </x:c>
      <x:c r="G41" s="20" t="str">
        <x:v>0</x:v>
      </x:c>
      <x:c r="H41" s="20" t="str">
        <x:v>0</x:v>
      </x:c>
      <x:c r="I41" s="20" t="str">
        <x:v>0</x:v>
      </x:c>
      <x:c r="J41" s="20" t="str">
        <x:v>0</x:v>
      </x:c>
      <x:c r="K41" s="20" t="str">
        <x:v>0</x:v>
      </x:c>
      <x:c r="L41" s="20" t="str">
        <x:v>0</x:v>
      </x:c>
      <x:c r="M41" s="20" t="str">
        <x:v>0</x:v>
      </x:c>
      <x:c r="N41" s="20" t="str">
        <x:v>0</x:v>
      </x:c>
      <x:c r="O41" s="20" t="str">
        <x:v>0</x:v>
      </x:c>
      <x:c r="P41" s="20" t="str">
        <x:v>0</x:v>
      </x:c>
      <x:c r="Q41" s="20" t="str">
        <x:v>0</x:v>
      </x:c>
      <x:c r="R41" s="20" t="str">
        <x:v>0</x:v>
      </x:c>
      <x:c r="S41" s="20" t="str">
        <x:v>0</x:v>
      </x:c>
      <x:c r="T41" s="20" t="str">
        <x:v>0</x:v>
      </x:c>
      <x:c r="U41" s="20" t="str">
        <x:v>0</x:v>
      </x:c>
      <x:c r="V41" s="20" t="str">
        <x:v>1</x:v>
      </x:c>
      <x:c r="W41" s="20" t="str">
        <x:v>0</x:v>
      </x:c>
      <x:c r="X41" s="20" t="str">
        <x:v>0</x:v>
      </x:c>
      <x:c r="Y41" s="20" t="str">
        <x:v>0</x:v>
      </x:c>
      <x:c r="Z41" s="20" t="str">
        <x:v>0</x:v>
      </x:c>
      <x:c r="AA41" s="20" t="str">
        <x:v>0</x:v>
      </x:c>
      <x:c r="AB41" s="20" t="str">
        <x:v>0</x:v>
      </x:c>
      <x:c r="AC41" s="20" t="str">
        <x:v>0</x:v>
      </x:c>
      <x:c r="AD41" s="20" t="str">
        <x:v>0</x:v>
      </x:c>
      <x:c r="AE41" s="20" t="str">
        <x:v>0</x:v>
      </x:c>
    </x:row>
    <x:row r="42">
      <x:c r="A42" s="20" t="str">
        <x:v>falke2019_ranking_generated_summaries</x:v>
      </x:c>
      <x:c r="B42" s="20" t="str">
        <x:v>2019</x:v>
      </x:c>
      <x:c r="C42" s="20" t="str">
        <x:v>Ranking Generated Summaries by Correctness: An Interesting but Challenging Application for Natural Language Inference</x:v>
      </x:c>
      <x:c r="D42" s="20" t="str">
        <x:v>04_Factuality_Methods</x:v>
      </x:c>
      <x:c r="E42" s="20" t="str">
        <x:v>1</x:v>
      </x:c>
      <x:c r="F42" s="20" t="str">
        <x:v>0</x:v>
      </x:c>
      <x:c r="G42" s="20" t="str">
        <x:v>0</x:v>
      </x:c>
      <x:c r="H42" s="20" t="str">
        <x:v>0</x:v>
      </x:c>
      <x:c r="I42" s="20" t="str">
        <x:v>0</x:v>
      </x:c>
      <x:c r="J42" s="20" t="str">
        <x:v>0</x:v>
      </x:c>
      <x:c r="K42" s="20" t="str">
        <x:v>0</x:v>
      </x:c>
      <x:c r="L42" s="20" t="str">
        <x:v>0</x:v>
      </x:c>
      <x:c r="M42" s="20" t="str">
        <x:v>0</x:v>
      </x:c>
      <x:c r="N42" s="20" t="str">
        <x:v>0</x:v>
      </x:c>
      <x:c r="O42" s="20" t="str">
        <x:v>0</x:v>
      </x:c>
      <x:c r="P42" s="20" t="str">
        <x:v>0</x:v>
      </x:c>
      <x:c r="Q42" s="20" t="str">
        <x:v>0</x:v>
      </x:c>
      <x:c r="R42" s="20" t="str">
        <x:v>0</x:v>
      </x:c>
      <x:c r="S42" s="20" t="str">
        <x:v>0</x:v>
      </x:c>
      <x:c r="T42" s="20" t="str">
        <x:v>0</x:v>
      </x:c>
      <x:c r="U42" s="20" t="str">
        <x:v>0</x:v>
      </x:c>
      <x:c r="V42" s="20" t="str">
        <x:v>0</x:v>
      </x:c>
      <x:c r="W42" s="20" t="str">
        <x:v>0</x:v>
      </x:c>
      <x:c r="X42" s="20" t="str">
        <x:v>0</x:v>
      </x:c>
      <x:c r="Y42" s="20" t="str">
        <x:v>0</x:v>
      </x:c>
      <x:c r="Z42" s="20" t="str">
        <x:v>0</x:v>
      </x:c>
      <x:c r="AA42" s="20" t="str">
        <x:v>0</x:v>
      </x:c>
      <x:c r="AB42" s="20" t="str">
        <x:v>0</x:v>
      </x:c>
      <x:c r="AC42" s="20" t="str">
        <x:v>0</x:v>
      </x:c>
      <x:c r="AD42" s="20" t="str">
        <x:v>0</x:v>
      </x:c>
      <x:c r="AE42" s="20" t="str">
        <x:v>0</x:v>
      </x:c>
    </x:row>
    <x:row r="43">
      <x:c r="A43" s="20" t="str">
        <x:v>kryscinski2020_evaluating_factual_consistency</x:v>
      </x:c>
      <x:c r="B43" s="20" t="str">
        <x:v>2020</x:v>
      </x:c>
      <x:c r="C43" s="20" t="str">
        <x:v>Evaluating the Factual Consistency of Abstractive Text Summarization</x:v>
      </x:c>
      <x:c r="D43" s="20" t="str">
        <x:v>04_Factuality_Methods</x:v>
      </x:c>
      <x:c r="E43" s="20" t="str">
        <x:v>0</x:v>
      </x:c>
      <x:c r="F43" s="20" t="str">
        <x:v>0</x:v>
      </x:c>
      <x:c r="G43" s="20" t="str">
        <x:v>0</x:v>
      </x:c>
      <x:c r="H43" s="20" t="str">
        <x:v>0</x:v>
      </x:c>
      <x:c r="I43" s="20" t="str">
        <x:v>0</x:v>
      </x:c>
      <x:c r="J43" s="20" t="str">
        <x:v>0</x:v>
      </x:c>
      <x:c r="K43" s="20" t="str">
        <x:v>1</x:v>
      </x:c>
      <x:c r="L43" s="20" t="str">
        <x:v>0</x:v>
      </x:c>
      <x:c r="M43" s="20" t="str">
        <x:v>0</x:v>
      </x:c>
      <x:c r="N43" s="20" t="str">
        <x:v>0</x:v>
      </x:c>
      <x:c r="O43" s="20" t="str">
        <x:v>0</x:v>
      </x:c>
      <x:c r="P43" s="20" t="str">
        <x:v>0</x:v>
      </x:c>
      <x:c r="Q43" s="20" t="str">
        <x:v>0</x:v>
      </x:c>
      <x:c r="R43" s="20" t="str">
        <x:v>0</x:v>
      </x:c>
      <x:c r="S43" s="20" t="str">
        <x:v>0</x:v>
      </x:c>
      <x:c r="T43" s="20" t="str">
        <x:v>0</x:v>
      </x:c>
      <x:c r="U43" s="20" t="str">
        <x:v>0</x:v>
      </x:c>
      <x:c r="V43" s="20" t="str">
        <x:v>0</x:v>
      </x:c>
      <x:c r="W43" s="20" t="str">
        <x:v>0</x:v>
      </x:c>
      <x:c r="X43" s="20" t="str">
        <x:v>0</x:v>
      </x:c>
      <x:c r="Y43" s="20" t="str">
        <x:v>0</x:v>
      </x:c>
      <x:c r="Z43" s="20" t="str">
        <x:v>0</x:v>
      </x:c>
      <x:c r="AA43" s="20" t="str">
        <x:v>0</x:v>
      </x:c>
      <x:c r="AB43" s="20" t="str">
        <x:v>0</x:v>
      </x:c>
      <x:c r="AC43" s="20" t="str">
        <x:v>0</x:v>
      </x:c>
      <x:c r="AD43" s="20" t="str">
        <x:v>0</x:v>
      </x:c>
      <x:c r="AE43" s="20" t="str">
        <x:v>0</x:v>
      </x:c>
    </x:row>
    <x:row r="44">
      <x:c r="A44" s="20" t="str">
        <x:v>goyal2021_annotating_modeling_fine</x:v>
      </x:c>
      <x:c r="B44" s="20" t="str">
        <x:v>2021</x:v>
      </x:c>
      <x:c r="C44" s="20" t="str">
        <x:v>Annotating and Modeling Fine-grained Factuality in Summarization</x:v>
      </x:c>
      <x:c r="D44" s="20" t="str">
        <x:v>04_Factuality_Methods</x:v>
      </x:c>
      <x:c r="E44" s="20" t="str">
        <x:v>0</x:v>
      </x:c>
      <x:c r="F44" s="20" t="str">
        <x:v>0</x:v>
      </x:c>
      <x:c r="G44" s="20" t="str">
        <x:v>0</x:v>
      </x:c>
      <x:c r="H44" s="20" t="str">
        <x:v>0</x:v>
      </x:c>
      <x:c r="I44" s="20" t="str">
        <x:v>0</x:v>
      </x:c>
      <x:c r="J44" s="20" t="str">
        <x:v>0</x:v>
      </x:c>
      <x:c r="K44" s="20" t="str">
        <x:v>0</x:v>
      </x:c>
      <x:c r="L44" s="20" t="str">
        <x:v>0</x:v>
      </x:c>
      <x:c r="M44" s="20" t="str">
        <x:v>0</x:v>
      </x:c>
      <x:c r="N44" s="20" t="str">
        <x:v>0</x:v>
      </x:c>
      <x:c r="O44" s="20" t="str">
        <x:v>0</x:v>
      </x:c>
      <x:c r="P44" s="20" t="str">
        <x:v>0</x:v>
      </x:c>
      <x:c r="Q44" s="20" t="str">
        <x:v>1</x:v>
      </x:c>
      <x:c r="R44" s="20" t="str">
        <x:v>0</x:v>
      </x:c>
      <x:c r="S44" s="20" t="str">
        <x:v>0</x:v>
      </x:c>
      <x:c r="T44" s="20" t="str">
        <x:v>0</x:v>
      </x:c>
      <x:c r="U44" s="20" t="str">
        <x:v>0</x:v>
      </x:c>
      <x:c r="V44" s="20" t="str">
        <x:v>0</x:v>
      </x:c>
      <x:c r="W44" s="20" t="str">
        <x:v>0</x:v>
      </x:c>
      <x:c r="X44" s="20" t="str">
        <x:v>0</x:v>
      </x:c>
      <x:c r="Y44" s="20" t="str">
        <x:v>0</x:v>
      </x:c>
      <x:c r="Z44" s="20" t="str">
        <x:v>0</x:v>
      </x:c>
      <x:c r="AA44" s="20" t="str">
        <x:v>0</x:v>
      </x:c>
      <x:c r="AB44" s="20" t="str">
        <x:v>0</x:v>
      </x:c>
      <x:c r="AC44" s="20" t="str">
        <x:v>0</x:v>
      </x:c>
      <x:c r="AD44" s="20" t="str">
        <x:v>0</x:v>
      </x:c>
      <x:c r="AE44" s="20" t="str">
        <x:v>0</x:v>
      </x:c>
    </x:row>
    <x:row r="45">
      <x:c r="A45" s="20" t="str">
        <x:v>fabbri2021_summeval_re_evaluating</x:v>
      </x:c>
      <x:c r="B45" s="20" t="str">
        <x:v>2021</x:v>
      </x:c>
      <x:c r="C45" s="20" t="str">
        <x:v>SummEval: Re-evaluating Summarization Evaluation</x:v>
      </x:c>
      <x:c r="D45" s="20" t="str">
        <x:v>04_Factuality_Methods</x:v>
      </x:c>
      <x:c r="E45" s="20" t="str">
        <x:v>0</x:v>
      </x:c>
      <x:c r="F45" s="20" t="str">
        <x:v>0</x:v>
      </x:c>
      <x:c r="G45" s="20" t="str">
        <x:v>0</x:v>
      </x:c>
      <x:c r="H45" s="20" t="str">
        <x:v>0</x:v>
      </x:c>
      <x:c r="I45" s="20" t="str">
        <x:v>0</x:v>
      </x:c>
      <x:c r="J45" s="20" t="str">
        <x:v>0</x:v>
      </x:c>
      <x:c r="K45" s="20" t="str">
        <x:v>0</x:v>
      </x:c>
      <x:c r="L45" s="20" t="str">
        <x:v>0</x:v>
      </x:c>
      <x:c r="M45" s="20" t="str">
        <x:v>0</x:v>
      </x:c>
      <x:c r="N45" s="20" t="str">
        <x:v>0</x:v>
      </x:c>
      <x:c r="O45" s="20" t="str">
        <x:v>0</x:v>
      </x:c>
      <x:c r="P45" s="20" t="str">
        <x:v>0</x:v>
      </x:c>
      <x:c r="Q45" s="20" t="str">
        <x:v>1</x:v>
      </x:c>
      <x:c r="R45" s="20" t="str">
        <x:v>0</x:v>
      </x:c>
      <x:c r="S45" s="20" t="str">
        <x:v>0</x:v>
      </x:c>
      <x:c r="T45" s="20" t="str">
        <x:v>0</x:v>
      </x:c>
      <x:c r="U45" s="20" t="str">
        <x:v>0</x:v>
      </x:c>
      <x:c r="V45" s="20" t="str">
        <x:v>0</x:v>
      </x:c>
      <x:c r="W45" s="20" t="str">
        <x:v>0</x:v>
      </x:c>
      <x:c r="X45" s="20" t="str">
        <x:v>0</x:v>
      </x:c>
      <x:c r="Y45" s="20" t="str">
        <x:v>0</x:v>
      </x:c>
      <x:c r="Z45" s="20" t="str">
        <x:v>0</x:v>
      </x:c>
      <x:c r="AA45" s="20" t="str">
        <x:v>0</x:v>
      </x:c>
      <x:c r="AB45" s="20" t="str">
        <x:v>0</x:v>
      </x:c>
      <x:c r="AC45" s="20" t="str">
        <x:v>0</x:v>
      </x:c>
      <x:c r="AD45" s="20" t="str">
        <x:v>0</x:v>
      </x:c>
      <x:c r="AE45" s="20" t="str">
        <x:v>0</x:v>
      </x:c>
    </x:row>
    <x:row r="46">
      <x:c r="A46" s="20" t="str">
        <x:v>durmus2020_feqa_question_answering</x:v>
      </x:c>
      <x:c r="B46" s="20" t="str">
        <x:v>2020</x:v>
      </x:c>
      <x:c r="C46" s="20" t="str">
        <x:v>FEQA: A Question Answering Evaluation Framework for Faithfulness Assessment in Abstractive Summarization</x:v>
      </x:c>
      <x:c r="D46" s="20" t="str">
        <x:v>04_Factuality_Methods</x:v>
      </x:c>
      <x:c r="E46" s="20" t="str">
        <x:v>0</x:v>
      </x:c>
      <x:c r="F46" s="20" t="str">
        <x:v>1</x:v>
      </x:c>
      <x:c r="G46" s="20" t="str">
        <x:v>0</x:v>
      </x:c>
      <x:c r="H46" s="20" t="str">
        <x:v>0</x:v>
      </x:c>
      <x:c r="I46" s="20" t="str">
        <x:v>0</x:v>
      </x:c>
      <x:c r="J46" s="20" t="str">
        <x:v>0</x:v>
      </x:c>
      <x:c r="K46" s="20" t="str">
        <x:v>0</x:v>
      </x:c>
      <x:c r="L46" s="20" t="str">
        <x:v>0</x:v>
      </x:c>
      <x:c r="M46" s="20" t="str">
        <x:v>0</x:v>
      </x:c>
      <x:c r="N46" s="20" t="str">
        <x:v>0</x:v>
      </x:c>
      <x:c r="O46" s="20" t="str">
        <x:v>0</x:v>
      </x:c>
      <x:c r="P46" s="20" t="str">
        <x:v>0</x:v>
      </x:c>
      <x:c r="Q46" s="20" t="str">
        <x:v>0</x:v>
      </x:c>
      <x:c r="R46" s="20" t="str">
        <x:v>0</x:v>
      </x:c>
      <x:c r="S46" s="20" t="str">
        <x:v>0</x:v>
      </x:c>
      <x:c r="T46" s="20" t="str">
        <x:v>0</x:v>
      </x:c>
      <x:c r="U46" s="20" t="str">
        <x:v>0</x:v>
      </x:c>
      <x:c r="V46" s="20" t="str">
        <x:v>0</x:v>
      </x:c>
      <x:c r="W46" s="20" t="str">
        <x:v>0</x:v>
      </x:c>
      <x:c r="X46" s="20" t="str">
        <x:v>0</x:v>
      </x:c>
      <x:c r="Y46" s="20" t="str">
        <x:v>0</x:v>
      </x:c>
      <x:c r="Z46" s="20" t="str">
        <x:v>0</x:v>
      </x:c>
      <x:c r="AA46" s="20" t="str">
        <x:v>0</x:v>
      </x:c>
      <x:c r="AB46" s="20" t="str">
        <x:v>0</x:v>
      </x:c>
      <x:c r="AC46" s="20" t="str">
        <x:v>0</x:v>
      </x:c>
      <x:c r="AD46" s="20" t="str">
        <x:v>0</x:v>
      </x:c>
      <x:c r="AE46" s="20" t="str">
        <x:v>0</x:v>
      </x:c>
    </x:row>
    <x:row r="47">
      <x:c r="A47" s="20" t="str">
        <x:v>wang2020_asking_answering_questions</x:v>
      </x:c>
      <x:c r="B47" s="20" t="str">
        <x:v>2020</x:v>
      </x:c>
      <x:c r="C47" s="20" t="str">
        <x:v>Asking and Answering Questions to Evaluate the Factual Consistency of Summaries</x:v>
      </x:c>
      <x:c r="D47" s="20" t="str">
        <x:v>04_Factuality_Methods</x:v>
      </x:c>
      <x:c r="E47" s="20" t="str">
        <x:v>0</x:v>
      </x:c>
      <x:c r="F47" s="20" t="str">
        <x:v>1</x:v>
      </x:c>
      <x:c r="G47" s="20" t="str">
        <x:v>0</x:v>
      </x:c>
      <x:c r="H47" s="20" t="str">
        <x:v>0</x:v>
      </x:c>
      <x:c r="I47" s="20" t="str">
        <x:v>0</x:v>
      </x:c>
      <x:c r="J47" s="20" t="str">
        <x:v>0</x:v>
      </x:c>
      <x:c r="K47" s="20" t="str">
        <x:v>0</x:v>
      </x:c>
      <x:c r="L47" s="20" t="str">
        <x:v>0</x:v>
      </x:c>
      <x:c r="M47" s="20" t="str">
        <x:v>0</x:v>
      </x:c>
      <x:c r="N47" s="20" t="str">
        <x:v>0</x:v>
      </x:c>
      <x:c r="O47" s="20" t="str">
        <x:v>0</x:v>
      </x:c>
      <x:c r="P47" s="20" t="str">
        <x:v>0</x:v>
      </x:c>
      <x:c r="Q47" s="20" t="str">
        <x:v>0</x:v>
      </x:c>
      <x:c r="R47" s="20" t="str">
        <x:v>0</x:v>
      </x:c>
      <x:c r="S47" s="20" t="str">
        <x:v>0</x:v>
      </x:c>
      <x:c r="T47" s="20" t="str">
        <x:v>0</x:v>
      </x:c>
      <x:c r="U47" s="20" t="str">
        <x:v>0</x:v>
      </x:c>
      <x:c r="V47" s="20" t="str">
        <x:v>0</x:v>
      </x:c>
      <x:c r="W47" s="20" t="str">
        <x:v>0</x:v>
      </x:c>
      <x:c r="X47" s="20" t="str">
        <x:v>0</x:v>
      </x:c>
      <x:c r="Y47" s="20" t="str">
        <x:v>0</x:v>
      </x:c>
      <x:c r="Z47" s="20" t="str">
        <x:v>0</x:v>
      </x:c>
      <x:c r="AA47" s="20" t="str">
        <x:v>0</x:v>
      </x:c>
      <x:c r="AB47" s="20" t="str">
        <x:v>0</x:v>
      </x:c>
      <x:c r="AC47" s="20" t="str">
        <x:v>0</x:v>
      </x:c>
      <x:c r="AD47" s="20" t="str">
        <x:v>0</x:v>
      </x:c>
      <x:c r="AE47" s="20" t="str">
        <x:v>0</x:v>
      </x:c>
    </x:row>
    <x:row r="48">
      <x:c r="A48" s="20" t="str">
        <x:v>scialom2021_questeval_summarization_asks</x:v>
      </x:c>
      <x:c r="B48" s="20" t="str">
        <x:v>2021</x:v>
      </x:c>
      <x:c r="C48" s="20" t="str">
        <x:v>QuestEval: Summarization Asks for Fact-based Evaluation</x:v>
      </x:c>
      <x:c r="D48" s="20" t="str">
        <x:v>04_Factuality_Methods</x:v>
      </x:c>
      <x:c r="E48" s="20" t="str">
        <x:v>0</x:v>
      </x:c>
      <x:c r="F48" s="20" t="str">
        <x:v>1</x:v>
      </x:c>
      <x:c r="G48" s="20" t="str">
        <x:v>0</x:v>
      </x:c>
      <x:c r="H48" s="20" t="str">
        <x:v>0</x:v>
      </x:c>
      <x:c r="I48" s="20" t="str">
        <x:v>0</x:v>
      </x:c>
      <x:c r="J48" s="20" t="str">
        <x:v>0</x:v>
      </x:c>
      <x:c r="K48" s="20" t="str">
        <x:v>0</x:v>
      </x:c>
      <x:c r="L48" s="20" t="str">
        <x:v>0</x:v>
      </x:c>
      <x:c r="M48" s="20" t="str">
        <x:v>0</x:v>
      </x:c>
      <x:c r="N48" s="20" t="str">
        <x:v>0</x:v>
      </x:c>
      <x:c r="O48" s="20" t="str">
        <x:v>0</x:v>
      </x:c>
      <x:c r="P48" s="20" t="str">
        <x:v>0</x:v>
      </x:c>
      <x:c r="Q48" s="20" t="str">
        <x:v>0</x:v>
      </x:c>
      <x:c r="R48" s="20" t="str">
        <x:v>0</x:v>
      </x:c>
      <x:c r="S48" s="20" t="str">
        <x:v>0</x:v>
      </x:c>
      <x:c r="T48" s="20" t="str">
        <x:v>0</x:v>
      </x:c>
      <x:c r="U48" s="20" t="str">
        <x:v>0</x:v>
      </x:c>
      <x:c r="V48" s="20" t="str">
        <x:v>0</x:v>
      </x:c>
      <x:c r="W48" s="20" t="str">
        <x:v>0</x:v>
      </x:c>
      <x:c r="X48" s="20" t="str">
        <x:v>0</x:v>
      </x:c>
      <x:c r="Y48" s="20" t="str">
        <x:v>0</x:v>
      </x:c>
      <x:c r="Z48" s="20" t="str">
        <x:v>0</x:v>
      </x:c>
      <x:c r="AA48" s="20" t="str">
        <x:v>0</x:v>
      </x:c>
      <x:c r="AB48" s="20" t="str">
        <x:v>0</x:v>
      </x:c>
      <x:c r="AC48" s="20" t="str">
        <x:v>0</x:v>
      </x:c>
      <x:c r="AD48" s="20" t="str">
        <x:v>0</x:v>
      </x:c>
      <x:c r="AE48" s="20" t="str">
        <x:v>0</x:v>
      </x:c>
    </x:row>
    <x:row r="49">
      <x:c r="A49" s="20" t="str">
        <x:v>laban2022_summac_re_visiting</x:v>
      </x:c>
      <x:c r="B49" s="20" t="str">
        <x:v>2022</x:v>
      </x:c>
      <x:c r="C49" s="20" t="str">
        <x:v>SummaC: Re-Visiting NLI-based Models for Inconsistency Detection in Summarization</x:v>
      </x:c>
      <x:c r="D49" s="20" t="str">
        <x:v>04_Factuality_Methods</x:v>
      </x:c>
      <x:c r="E49" s="20" t="str">
        <x:v>1</x:v>
      </x:c>
      <x:c r="F49" s="20" t="str">
        <x:v>0</x:v>
      </x:c>
      <x:c r="G49" s="20" t="str">
        <x:v>0</x:v>
      </x:c>
      <x:c r="H49" s="20" t="str">
        <x:v>0</x:v>
      </x:c>
      <x:c r="I49" s="20" t="str">
        <x:v>0</x:v>
      </x:c>
      <x:c r="J49" s="20" t="str">
        <x:v>0</x:v>
      </x:c>
      <x:c r="K49" s="20" t="str">
        <x:v>0</x:v>
      </x:c>
      <x:c r="L49" s="20" t="str">
        <x:v>0</x:v>
      </x:c>
      <x:c r="M49" s="20" t="str">
        <x:v>0</x:v>
      </x:c>
      <x:c r="N49" s="20" t="str">
        <x:v>0</x:v>
      </x:c>
      <x:c r="O49" s="20" t="str">
        <x:v>0</x:v>
      </x:c>
      <x:c r="P49" s="20" t="str">
        <x:v>0</x:v>
      </x:c>
      <x:c r="Q49" s="20" t="str">
        <x:v>0</x:v>
      </x:c>
      <x:c r="R49" s="20" t="str">
        <x:v>0</x:v>
      </x:c>
      <x:c r="S49" s="20" t="str">
        <x:v>0</x:v>
      </x:c>
      <x:c r="T49" s="20" t="str">
        <x:v>0</x:v>
      </x:c>
      <x:c r="U49" s="20" t="str">
        <x:v>0</x:v>
      </x:c>
      <x:c r="V49" s="20" t="str">
        <x:v>0</x:v>
      </x:c>
      <x:c r="W49" s="20" t="str">
        <x:v>0</x:v>
      </x:c>
      <x:c r="X49" s="20" t="str">
        <x:v>0</x:v>
      </x:c>
      <x:c r="Y49" s="20" t="str">
        <x:v>0</x:v>
      </x:c>
      <x:c r="Z49" s="20" t="str">
        <x:v>0</x:v>
      </x:c>
      <x:c r="AA49" s="20" t="str">
        <x:v>0</x:v>
      </x:c>
      <x:c r="AB49" s="20" t="str">
        <x:v>0</x:v>
      </x:c>
      <x:c r="AC49" s="20" t="str">
        <x:v>0</x:v>
      </x:c>
      <x:c r="AD49" s="20" t="str">
        <x:v>0</x:v>
      </x:c>
      <x:c r="AE49" s="20" t="str">
        <x:v>0</x:v>
      </x:c>
    </x:row>
    <x:row r="50">
      <x:c r="A50" s="20" t="str">
        <x:v>min2023_factscore_fine_grained</x:v>
      </x:c>
      <x:c r="B50" s="20" t="str">
        <x:v>2023</x:v>
      </x:c>
      <x:c r="C50" s="20" t="str">
        <x:v>FActScore: Fine-grained Atomic Evaluation of Factual Precision in Long Form Text Generation</x:v>
      </x:c>
      <x:c r="D50" s="20" t="str">
        <x:v>04_Factuality_Methods</x:v>
      </x:c>
      <x:c r="E50" s="20" t="str">
        <x:v>0</x:v>
      </x:c>
      <x:c r="F50" s="20" t="str">
        <x:v>0</x:v>
      </x:c>
      <x:c r="G50" s="20" t="str">
        <x:v>0</x:v>
      </x:c>
      <x:c r="H50" s="20" t="str">
        <x:v>1</x:v>
      </x:c>
      <x:c r="I50" s="20" t="str">
        <x:v>0</x:v>
      </x:c>
      <x:c r="J50" s="20" t="str">
        <x:v>0</x:v>
      </x:c>
      <x:c r="K50" s="20" t="str">
        <x:v>0</x:v>
      </x:c>
      <x:c r="L50" s="20" t="str">
        <x:v>0</x:v>
      </x:c>
      <x:c r="M50" s="20" t="str">
        <x:v>0</x:v>
      </x:c>
      <x:c r="N50" s="20" t="str">
        <x:v>0</x:v>
      </x:c>
      <x:c r="O50" s="20" t="str">
        <x:v>0</x:v>
      </x:c>
      <x:c r="P50" s="20" t="str">
        <x:v>0</x:v>
      </x:c>
      <x:c r="Q50" s="20" t="str">
        <x:v>0</x:v>
      </x:c>
      <x:c r="R50" s="20" t="str">
        <x:v>0</x:v>
      </x:c>
      <x:c r="S50" s="20" t="str">
        <x:v>0</x:v>
      </x:c>
      <x:c r="T50" s="20" t="str">
        <x:v>0</x:v>
      </x:c>
      <x:c r="U50" s="20" t="str">
        <x:v>0</x:v>
      </x:c>
      <x:c r="V50" s="20" t="str">
        <x:v>0</x:v>
      </x:c>
      <x:c r="W50" s="20" t="str">
        <x:v>0</x:v>
      </x:c>
      <x:c r="X50" s="20" t="str">
        <x:v>0</x:v>
      </x:c>
      <x:c r="Y50" s="20" t="str">
        <x:v>0</x:v>
      </x:c>
      <x:c r="Z50" s="20" t="str">
        <x:v>0</x:v>
      </x:c>
      <x:c r="AA50" s="20" t="str">
        <x:v>0</x:v>
      </x:c>
      <x:c r="AB50" s="20" t="str">
        <x:v>0</x:v>
      </x:c>
      <x:c r="AC50" s="20" t="str">
        <x:v>0</x:v>
      </x:c>
      <x:c r="AD50" s="20" t="str">
        <x:v>0</x:v>
      </x:c>
      <x:c r="AE50" s="20" t="str">
        <x:v>0</x:v>
      </x:c>
    </x:row>
    <x:row r="51">
      <x:c r="A51" s="20" t="str">
        <x:v>zha2023_alignscore_evaluating_factual</x:v>
      </x:c>
      <x:c r="B51" s="20" t="str">
        <x:v>2023</x:v>
      </x:c>
      <x:c r="C51" s="20" t="str">
        <x:v>AlignScore: Evaluating Factual Consistency with A Unified Alignment Function</x:v>
      </x:c>
      <x:c r="D51" s="20" t="str">
        <x:v>04_Factuality_Methods</x:v>
      </x:c>
      <x:c r="E51" s="20" t="str">
        <x:v>0</x:v>
      </x:c>
      <x:c r="F51" s="20" t="str">
        <x:v>0</x:v>
      </x:c>
      <x:c r="G51" s="20" t="str">
        <x:v>1</x:v>
      </x:c>
      <x:c r="H51" s="20" t="str">
        <x:v>0</x:v>
      </x:c>
      <x:c r="I51" s="20" t="str">
        <x:v>0</x:v>
      </x:c>
      <x:c r="J51" s="20" t="str">
        <x:v>0</x:v>
      </x:c>
      <x:c r="K51" s="20" t="str">
        <x:v>0</x:v>
      </x:c>
      <x:c r="L51" s="20" t="str">
        <x:v>0</x:v>
      </x:c>
      <x:c r="M51" s="20" t="str">
        <x:v>0</x:v>
      </x:c>
      <x:c r="N51" s="20" t="str">
        <x:v>0</x:v>
      </x:c>
      <x:c r="O51" s="20" t="str">
        <x:v>0</x:v>
      </x:c>
      <x:c r="P51" s="20" t="str">
        <x:v>0</x:v>
      </x:c>
      <x:c r="Q51" s="20" t="str">
        <x:v>0</x:v>
      </x:c>
      <x:c r="R51" s="20" t="str">
        <x:v>0</x:v>
      </x:c>
      <x:c r="S51" s="20" t="str">
        <x:v>0</x:v>
      </x:c>
      <x:c r="T51" s="20" t="str">
        <x:v>0</x:v>
      </x:c>
      <x:c r="U51" s="20" t="str">
        <x:v>0</x:v>
      </x:c>
      <x:c r="V51" s="20" t="str">
        <x:v>0</x:v>
      </x:c>
      <x:c r="W51" s="20" t="str">
        <x:v>0</x:v>
      </x:c>
      <x:c r="X51" s="20" t="str">
        <x:v>0</x:v>
      </x:c>
      <x:c r="Y51" s="20" t="str">
        <x:v>0</x:v>
      </x:c>
      <x:c r="Z51" s="20" t="str">
        <x:v>0</x:v>
      </x:c>
      <x:c r="AA51" s="20" t="str">
        <x:v>0</x:v>
      </x:c>
      <x:c r="AB51" s="20" t="str">
        <x:v>0</x:v>
      </x:c>
      <x:c r="AC51" s="20" t="str">
        <x:v>0</x:v>
      </x:c>
      <x:c r="AD51" s="20" t="str">
        <x:v>0</x:v>
      </x:c>
      <x:c r="AE51" s="20" t="str">
        <x:v>0</x:v>
      </x:c>
    </x:row>
    <x:row r="52">
      <x:c r="A52" s="20" t="str">
        <x:v>koto2020_ffci_framework_interpretable</x:v>
      </x:c>
      <x:c r="B52" s="20" t="str">
        <x:v>2020</x:v>
      </x:c>
      <x:c r="C52" s="20" t="str">
        <x:v>FFCI: A Framework for Interpretable Automatic Evaluation of Summarization</x:v>
      </x:c>
      <x:c r="D52" s="20" t="str">
        <x:v>04_Factuality_Methods</x:v>
      </x:c>
      <x:c r="E52" s="20" t="str">
        <x:v>0</x:v>
      </x:c>
      <x:c r="F52" s="20" t="str">
        <x:v>0</x:v>
      </x:c>
      <x:c r="G52" s="20" t="str">
        <x:v>0</x:v>
      </x:c>
      <x:c r="H52" s="20" t="str">
        <x:v>0</x:v>
      </x:c>
      <x:c r="I52" s="20" t="str">
        <x:v>0</x:v>
      </x:c>
      <x:c r="J52" s="20" t="str">
        <x:v>0</x:v>
      </x:c>
      <x:c r="K52" s="20" t="str">
        <x:v>0</x:v>
      </x:c>
      <x:c r="L52" s="20" t="str">
        <x:v>0</x:v>
      </x:c>
      <x:c r="M52" s="20" t="str">
        <x:v>0</x:v>
      </x:c>
      <x:c r="N52" s="20" t="str">
        <x:v>0</x:v>
      </x:c>
      <x:c r="O52" s="20" t="str">
        <x:v>0</x:v>
      </x:c>
      <x:c r="P52" s="20" t="str">
        <x:v>0</x:v>
      </x:c>
      <x:c r="Q52" s="20" t="str">
        <x:v>0</x:v>
      </x:c>
      <x:c r="R52" s="20" t="str">
        <x:v>0</x:v>
      </x:c>
      <x:c r="S52" s="20" t="str">
        <x:v>0</x:v>
      </x:c>
      <x:c r="T52" s="20" t="str">
        <x:v>0</x:v>
      </x:c>
      <x:c r="U52" s="20" t="str">
        <x:v>0</x:v>
      </x:c>
      <x:c r="V52" s="20" t="str">
        <x:v>1</x:v>
      </x:c>
      <x:c r="W52" s="20" t="str">
        <x:v>0</x:v>
      </x:c>
      <x:c r="X52" s="20" t="str">
        <x:v>0</x:v>
      </x:c>
      <x:c r="Y52" s="20" t="str">
        <x:v>0</x:v>
      </x:c>
      <x:c r="Z52" s="20" t="str">
        <x:v>0</x:v>
      </x:c>
      <x:c r="AA52" s="20" t="str">
        <x:v>0</x:v>
      </x:c>
      <x:c r="AB52" s="20" t="str">
        <x:v>0</x:v>
      </x:c>
      <x:c r="AC52" s="20" t="str">
        <x:v>0</x:v>
      </x:c>
      <x:c r="AD52" s="20" t="str">
        <x:v>0</x:v>
      </x:c>
      <x:c r="AE52" s="20" t="str">
        <x:v>0</x:v>
      </x:c>
    </x:row>
    <x:row r="53">
      <x:c r="A53" s="20" t="str">
        <x:v>cao2018_faithful_original_fact</x:v>
      </x:c>
      <x:c r="B53" s="20" t="str">
        <x:v>2018</x:v>
      </x:c>
      <x:c r="C53" s="20" t="str">
        <x:v>Faithful to the Original: Fact Aware Neural Abstractive Summarization</x:v>
      </x:c>
      <x:c r="D53" s="20" t="str">
        <x:v>04_Factuality_Methods</x:v>
      </x:c>
      <x:c r="E53" s="20" t="str">
        <x:v>0</x:v>
      </x:c>
      <x:c r="F53" s="20" t="str">
        <x:v>0</x:v>
      </x:c>
      <x:c r="G53" s="20" t="str">
        <x:v>0</x:v>
      </x:c>
      <x:c r="H53" s="20" t="str">
        <x:v>0</x:v>
      </x:c>
      <x:c r="I53" s="20" t="str">
        <x:v>0</x:v>
      </x:c>
      <x:c r="J53" s="20" t="str">
        <x:v>0</x:v>
      </x:c>
      <x:c r="K53" s="20" t="str">
        <x:v>0</x:v>
      </x:c>
      <x:c r="L53" s="20" t="str">
        <x:v>0</x:v>
      </x:c>
      <x:c r="M53" s="20" t="str">
        <x:v>0</x:v>
      </x:c>
      <x:c r="N53" s="20" t="str">
        <x:v>0</x:v>
      </x:c>
      <x:c r="O53" s="20" t="str">
        <x:v>0</x:v>
      </x:c>
      <x:c r="P53" s="20" t="str">
        <x:v>0</x:v>
      </x:c>
      <x:c r="Q53" s="20" t="str">
        <x:v>0</x:v>
      </x:c>
      <x:c r="R53" s="20" t="str">
        <x:v>1</x:v>
      </x:c>
      <x:c r="S53" s="20" t="str">
        <x:v>0</x:v>
      </x:c>
      <x:c r="T53" s="20" t="str">
        <x:v>0</x:v>
      </x:c>
      <x:c r="U53" s="20" t="str">
        <x:v>0</x:v>
      </x:c>
      <x:c r="V53" s="20" t="str">
        <x:v>0</x:v>
      </x:c>
      <x:c r="W53" s="20" t="str">
        <x:v>0</x:v>
      </x:c>
      <x:c r="X53" s="20" t="str">
        <x:v>0</x:v>
      </x:c>
      <x:c r="Y53" s="20" t="str">
        <x:v>0</x:v>
      </x:c>
      <x:c r="Z53" s="20" t="str">
        <x:v>0</x:v>
      </x:c>
      <x:c r="AA53" s="20" t="str">
        <x:v>0</x:v>
      </x:c>
      <x:c r="AB53" s="20" t="str">
        <x:v>0</x:v>
      </x:c>
      <x:c r="AC53" s="20" t="str">
        <x:v>0</x:v>
      </x:c>
      <x:c r="AD53" s="20" t="str">
        <x:v>0</x:v>
      </x:c>
      <x:c r="AE53" s="20" t="str">
        <x:v>0</x:v>
      </x:c>
    </x:row>
    <x:row r="54">
      <x:c r="A54" s="20" t="str">
        <x:v>goodrich2019_assessing_factual_accuracy</x:v>
      </x:c>
      <x:c r="B54" s="20" t="str">
        <x:v>2019</x:v>
      </x:c>
      <x:c r="C54" s="20" t="str">
        <x:v>Assessing the Factual Accuracy of Generated Text</x:v>
      </x:c>
      <x:c r="D54" s="20" t="str">
        <x:v>04_Factuality_Methods</x:v>
      </x:c>
      <x:c r="E54" s="20" t="str">
        <x:v>0</x:v>
      </x:c>
      <x:c r="F54" s="20" t="str">
        <x:v>0</x:v>
      </x:c>
      <x:c r="G54" s="20" t="str">
        <x:v>0</x:v>
      </x:c>
      <x:c r="H54" s="20" t="str">
        <x:v>0</x:v>
      </x:c>
      <x:c r="I54" s="20" t="str">
        <x:v>0</x:v>
      </x:c>
      <x:c r="J54" s="20" t="str">
        <x:v>0</x:v>
      </x:c>
      <x:c r="K54" s="20" t="str">
        <x:v>1</x:v>
      </x:c>
      <x:c r="L54" s="20" t="str">
        <x:v>0</x:v>
      </x:c>
      <x:c r="M54" s="20" t="str">
        <x:v>0</x:v>
      </x:c>
      <x:c r="N54" s="20" t="str">
        <x:v>0</x:v>
      </x:c>
      <x:c r="O54" s="20" t="str">
        <x:v>0</x:v>
      </x:c>
      <x:c r="P54" s="20" t="str">
        <x:v>0</x:v>
      </x:c>
      <x:c r="Q54" s="20" t="str">
        <x:v>0</x:v>
      </x:c>
      <x:c r="R54" s="20" t="str">
        <x:v>0</x:v>
      </x:c>
      <x:c r="S54" s="20" t="str">
        <x:v>0</x:v>
      </x:c>
      <x:c r="T54" s="20" t="str">
        <x:v>0</x:v>
      </x:c>
      <x:c r="U54" s="20" t="str">
        <x:v>0</x:v>
      </x:c>
      <x:c r="V54" s="20" t="str">
        <x:v>0</x:v>
      </x:c>
      <x:c r="W54" s="20" t="str">
        <x:v>0</x:v>
      </x:c>
      <x:c r="X54" s="20" t="str">
        <x:v>0</x:v>
      </x:c>
      <x:c r="Y54" s="20" t="str">
        <x:v>0</x:v>
      </x:c>
      <x:c r="Z54" s="20" t="str">
        <x:v>0</x:v>
      </x:c>
      <x:c r="AA54" s="20" t="str">
        <x:v>0</x:v>
      </x:c>
      <x:c r="AB54" s="20" t="str">
        <x:v>0</x:v>
      </x:c>
      <x:c r="AC54" s="20" t="str">
        <x:v>0</x:v>
      </x:c>
      <x:c r="AD54" s="20" t="str">
        <x:v>0</x:v>
      </x:c>
      <x:c r="AE54" s="20" t="str">
        <x:v>0</x:v>
      </x:c>
    </x:row>
    <x:row r="55">
      <x:c r="A55" s="20" t="str">
        <x:v>dziri2022_evaluating_attribution_dialogue</x:v>
      </x:c>
      <x:c r="B55" s="20" t="str">
        <x:v>2022</x:v>
      </x:c>
      <x:c r="C55" s="20" t="str">
        <x:v>Evaluating Attribution in Dialogue Systems: The BEGIN Benchmark</x:v>
      </x:c>
      <x:c r="D55" s="20" t="str">
        <x:v>04_Factuality_Methods</x:v>
      </x:c>
      <x:c r="E55" s="20" t="str">
        <x:v>0</x:v>
      </x:c>
      <x:c r="F55" s="20" t="str">
        <x:v>0</x:v>
      </x:c>
      <x:c r="G55" s="20" t="str">
        <x:v>0</x:v>
      </x:c>
      <x:c r="H55" s="20" t="str">
        <x:v>0</x:v>
      </x:c>
      <x:c r="I55" s="20" t="str">
        <x:v>1</x:v>
      </x:c>
      <x:c r="J55" s="20" t="str">
        <x:v>0</x:v>
      </x:c>
      <x:c r="K55" s="20" t="str">
        <x:v>0</x:v>
      </x:c>
      <x:c r="L55" s="20" t="str">
        <x:v>0</x:v>
      </x:c>
      <x:c r="M55" s="20" t="str">
        <x:v>0</x:v>
      </x:c>
      <x:c r="N55" s="20" t="str">
        <x:v>0</x:v>
      </x:c>
      <x:c r="O55" s="20" t="str">
        <x:v>0</x:v>
      </x:c>
      <x:c r="P55" s="20" t="str">
        <x:v>0</x:v>
      </x:c>
      <x:c r="Q55" s="20" t="str">
        <x:v>0</x:v>
      </x:c>
      <x:c r="R55" s="20" t="str">
        <x:v>0</x:v>
      </x:c>
      <x:c r="S55" s="20" t="str">
        <x:v>0</x:v>
      </x:c>
      <x:c r="T55" s="20" t="str">
        <x:v>0</x:v>
      </x:c>
      <x:c r="U55" s="20" t="str">
        <x:v>0</x:v>
      </x:c>
      <x:c r="V55" s="20" t="str">
        <x:v>0</x:v>
      </x:c>
      <x:c r="W55" s="20" t="str">
        <x:v>0</x:v>
      </x:c>
      <x:c r="X55" s="20" t="str">
        <x:v>0</x:v>
      </x:c>
      <x:c r="Y55" s="20" t="str">
        <x:v>0</x:v>
      </x:c>
      <x:c r="Z55" s="20" t="str">
        <x:v>0</x:v>
      </x:c>
      <x:c r="AA55" s="20" t="str">
        <x:v>0</x:v>
      </x:c>
      <x:c r="AB55" s="20" t="str">
        <x:v>0</x:v>
      </x:c>
      <x:c r="AC55" s="20" t="str">
        <x:v>0</x:v>
      </x:c>
      <x:c r="AD55" s="20" t="str">
        <x:v>0</x:v>
      </x:c>
      <x:c r="AE55" s="20" t="str">
        <x:v>0</x:v>
      </x:c>
    </x:row>
    <x:row r="56">
      <x:c r="A56" s="20" t="str">
        <x:v>rashkin2023_measuring_attribution_natural</x:v>
      </x:c>
      <x:c r="B56" s="20" t="str">
        <x:v>2023</x:v>
      </x:c>
      <x:c r="C56" s="20" t="str">
        <x:v>Measuring Attribution in Natural Language Generation Models</x:v>
      </x:c>
      <x:c r="D56" s="20" t="str">
        <x:v>04_Factuality_Methods</x:v>
      </x:c>
      <x:c r="E56" s="20" t="str">
        <x:v>0</x:v>
      </x:c>
      <x:c r="F56" s="20" t="str">
        <x:v>0</x:v>
      </x:c>
      <x:c r="G56" s="20" t="str">
        <x:v>0</x:v>
      </x:c>
      <x:c r="H56" s="20" t="str">
        <x:v>0</x:v>
      </x:c>
      <x:c r="I56" s="20" t="str">
        <x:v>1</x:v>
      </x:c>
      <x:c r="J56" s="20" t="str">
        <x:v>0</x:v>
      </x:c>
      <x:c r="K56" s="20" t="str">
        <x:v>0</x:v>
      </x:c>
      <x:c r="L56" s="20" t="str">
        <x:v>0</x:v>
      </x:c>
      <x:c r="M56" s="20" t="str">
        <x:v>0</x:v>
      </x:c>
      <x:c r="N56" s="20" t="str">
        <x:v>0</x:v>
      </x:c>
      <x:c r="O56" s="20" t="str">
        <x:v>0</x:v>
      </x:c>
      <x:c r="P56" s="20" t="str">
        <x:v>0</x:v>
      </x:c>
      <x:c r="Q56" s="20" t="str">
        <x:v>0</x:v>
      </x:c>
      <x:c r="R56" s="20" t="str">
        <x:v>0</x:v>
      </x:c>
      <x:c r="S56" s="20" t="str">
        <x:v>0</x:v>
      </x:c>
      <x:c r="T56" s="20" t="str">
        <x:v>0</x:v>
      </x:c>
      <x:c r="U56" s="20" t="str">
        <x:v>0</x:v>
      </x:c>
      <x:c r="V56" s="20" t="str">
        <x:v>0</x:v>
      </x:c>
      <x:c r="W56" s="20" t="str">
        <x:v>0</x:v>
      </x:c>
      <x:c r="X56" s="20" t="str">
        <x:v>0</x:v>
      </x:c>
      <x:c r="Y56" s="20" t="str">
        <x:v>0</x:v>
      </x:c>
      <x:c r="Z56" s="20" t="str">
        <x:v>0</x:v>
      </x:c>
      <x:c r="AA56" s="20" t="str">
        <x:v>0</x:v>
      </x:c>
      <x:c r="AB56" s="20" t="str">
        <x:v>0</x:v>
      </x:c>
      <x:c r="AC56" s="20" t="str">
        <x:v>0</x:v>
      </x:c>
      <x:c r="AD56" s="20" t="str">
        <x:v>0</x:v>
      </x:c>
      <x:c r="AE56" s="20" t="str">
        <x:v>0</x:v>
      </x:c>
    </x:row>
    <x:row r="57">
      <x:c r="A57" s="20" t="str">
        <x:v>li2023_hallucination_natural_language</x:v>
      </x:c>
      <x:c r="B57" s="20" t="str">
        <x:v>2023</x:v>
      </x:c>
      <x:c r="C57" s="20" t="str">
        <x:v>Survey of Hallucination in Natural Language Generation</x:v>
      </x:c>
      <x:c r="D57" s="20" t="str">
        <x:v>04_Factuality_Methods</x:v>
      </x:c>
      <x:c r="E57" s="20" t="str">
        <x:v>0</x:v>
      </x:c>
      <x:c r="F57" s="20" t="str">
        <x:v>0</x:v>
      </x:c>
      <x:c r="G57" s="20" t="str">
        <x:v>0</x:v>
      </x:c>
      <x:c r="H57" s="20" t="str">
        <x:v>0</x:v>
      </x:c>
      <x:c r="I57" s="20" t="str">
        <x:v>0</x:v>
      </x:c>
      <x:c r="J57" s="20" t="str">
        <x:v>0</x:v>
      </x:c>
      <x:c r="K57" s="20" t="str">
        <x:v>0</x:v>
      </x:c>
      <x:c r="L57" s="20" t="str">
        <x:v>0</x:v>
      </x:c>
      <x:c r="M57" s="20" t="str">
        <x:v>0</x:v>
      </x:c>
      <x:c r="N57" s="20" t="str">
        <x:v>0</x:v>
      </x:c>
      <x:c r="O57" s="20" t="str">
        <x:v>0</x:v>
      </x:c>
      <x:c r="P57" s="20" t="str">
        <x:v>0</x:v>
      </x:c>
      <x:c r="Q57" s="20" t="str">
        <x:v>0</x:v>
      </x:c>
      <x:c r="R57" s="20" t="str">
        <x:v>0</x:v>
      </x:c>
      <x:c r="S57" s="20" t="str">
        <x:v>0</x:v>
      </x:c>
      <x:c r="T57" s="20" t="str">
        <x:v>0</x:v>
      </x:c>
      <x:c r="U57" s="20" t="str">
        <x:v>0</x:v>
      </x:c>
      <x:c r="V57" s="20" t="str">
        <x:v>0</x:v>
      </x:c>
      <x:c r="W57" s="20" t="str">
        <x:v>0</x:v>
      </x:c>
      <x:c r="X57" s="20" t="str">
        <x:v>0</x:v>
      </x:c>
      <x:c r="Y57" s="20" t="str">
        <x:v>0</x:v>
      </x:c>
      <x:c r="Z57" s="20" t="str">
        <x:v>0</x:v>
      </x:c>
      <x:c r="AA57" s="20" t="str">
        <x:v>0</x:v>
      </x:c>
      <x:c r="AB57" s="20" t="str">
        <x:v>0</x:v>
      </x:c>
      <x:c r="AC57" s="20" t="str">
        <x:v>0</x:v>
      </x:c>
      <x:c r="AD57" s="20" t="str">
        <x:v>0</x:v>
      </x:c>
      <x:c r="AE57" s="20" t="str">
        <x:v>1</x:v>
      </x:c>
    </x:row>
    <x:row r="58">
      <x:c r="A58" s="20" t="str">
        <x:v>ji2023_hallucination_natural_language</x:v>
      </x:c>
      <x:c r="B58" s="20" t="str">
        <x:v>2023</x:v>
      </x:c>
      <x:c r="C58" s="20" t="str">
        <x:v>Survey of Hallucination in Natural Language Generation</x:v>
      </x:c>
      <x:c r="D58" s="20" t="str">
        <x:v>04_Factuality_Methods</x:v>
      </x:c>
      <x:c r="E58" s="20" t="str">
        <x:v>0</x:v>
      </x:c>
      <x:c r="F58" s="20" t="str">
        <x:v>0</x:v>
      </x:c>
      <x:c r="G58" s="20" t="str">
        <x:v>0</x:v>
      </x:c>
      <x:c r="H58" s="20" t="str">
        <x:v>0</x:v>
      </x:c>
      <x:c r="I58" s="20" t="str">
        <x:v>0</x:v>
      </x:c>
      <x:c r="J58" s="20" t="str">
        <x:v>0</x:v>
      </x:c>
      <x:c r="K58" s="20" t="str">
        <x:v>0</x:v>
      </x:c>
      <x:c r="L58" s="20" t="str">
        <x:v>0</x:v>
      </x:c>
      <x:c r="M58" s="20" t="str">
        <x:v>0</x:v>
      </x:c>
      <x:c r="N58" s="20" t="str">
        <x:v>0</x:v>
      </x:c>
      <x:c r="O58" s="20" t="str">
        <x:v>0</x:v>
      </x:c>
      <x:c r="P58" s="20" t="str">
        <x:v>0</x:v>
      </x:c>
      <x:c r="Q58" s="20" t="str">
        <x:v>0</x:v>
      </x:c>
      <x:c r="R58" s="20" t="str">
        <x:v>0</x:v>
      </x:c>
      <x:c r="S58" s="20" t="str">
        <x:v>0</x:v>
      </x:c>
      <x:c r="T58" s="20" t="str">
        <x:v>0</x:v>
      </x:c>
      <x:c r="U58" s="20" t="str">
        <x:v>0</x:v>
      </x:c>
      <x:c r="V58" s="20" t="str">
        <x:v>0</x:v>
      </x:c>
      <x:c r="W58" s="20" t="str">
        <x:v>0</x:v>
      </x:c>
      <x:c r="X58" s="20" t="str">
        <x:v>0</x:v>
      </x:c>
      <x:c r="Y58" s="20" t="str">
        <x:v>0</x:v>
      </x:c>
      <x:c r="Z58" s="20" t="str">
        <x:v>0</x:v>
      </x:c>
      <x:c r="AA58" s="20" t="str">
        <x:v>0</x:v>
      </x:c>
      <x:c r="AB58" s="20" t="str">
        <x:v>0</x:v>
      </x:c>
      <x:c r="AC58" s="20" t="str">
        <x:v>0</x:v>
      </x:c>
      <x:c r="AD58" s="20" t="str">
        <x:v>0</x:v>
      </x:c>
      <x:c r="AE58" s="20" t="str">
        <x:v>1</x:v>
      </x:c>
    </x:row>
    <x:row r="59">
      <x:c r="A59" s="20" t="str">
        <x:v>manakul2023_selfcheckgpt_zero_resource</x:v>
      </x:c>
      <x:c r="B59" s="20" t="str">
        <x:v>2023</x:v>
      </x:c>
      <x:c r="C59" s="20" t="str">
        <x:v>SelfCheckGPT: Zero-Resource Black-Box Hallucination Detection for Generative Large Language Models</x:v>
      </x:c>
      <x:c r="D59" s="20" t="str">
        <x:v>04_Factuality_Methods</x:v>
      </x:c>
      <x:c r="E59" s="20" t="str">
        <x:v>0</x:v>
      </x:c>
      <x:c r="F59" s="20" t="str">
        <x:v>0</x:v>
      </x:c>
      <x:c r="G59" s="20" t="str">
        <x:v>0</x:v>
      </x:c>
      <x:c r="H59" s="20" t="str">
        <x:v>0</x:v>
      </x:c>
      <x:c r="I59" s="20" t="str">
        <x:v>0</x:v>
      </x:c>
      <x:c r="J59" s="20" t="str">
        <x:v>0</x:v>
      </x:c>
      <x:c r="K59" s="20" t="str">
        <x:v>0</x:v>
      </x:c>
      <x:c r="L59" s="20" t="str">
        <x:v>0</x:v>
      </x:c>
      <x:c r="M59" s="20" t="str">
        <x:v>0</x:v>
      </x:c>
      <x:c r="N59" s="20" t="str">
        <x:v>0</x:v>
      </x:c>
      <x:c r="O59" s="20" t="str">
        <x:v>0</x:v>
      </x:c>
      <x:c r="P59" s="20" t="str">
        <x:v>0</x:v>
      </x:c>
      <x:c r="Q59" s="20" t="str">
        <x:v>0</x:v>
      </x:c>
      <x:c r="R59" s="20" t="str">
        <x:v>0</x:v>
      </x:c>
      <x:c r="S59" s="20" t="str">
        <x:v>0</x:v>
      </x:c>
      <x:c r="T59" s="20" t="str">
        <x:v>0</x:v>
      </x:c>
      <x:c r="U59" s="20" t="str">
        <x:v>0</x:v>
      </x:c>
      <x:c r="V59" s="20" t="str">
        <x:v>0</x:v>
      </x:c>
      <x:c r="W59" s="20" t="str">
        <x:v>0</x:v>
      </x:c>
      <x:c r="X59" s="20" t="str">
        <x:v>0</x:v>
      </x:c>
      <x:c r="Y59" s="20" t="str">
        <x:v>0</x:v>
      </x:c>
      <x:c r="Z59" s="20" t="str">
        <x:v>0</x:v>
      </x:c>
      <x:c r="AA59" s="20" t="str">
        <x:v>0</x:v>
      </x:c>
      <x:c r="AB59" s="20" t="str">
        <x:v>1</x:v>
      </x:c>
      <x:c r="AC59" s="20" t="str">
        <x:v>0</x:v>
      </x:c>
      <x:c r="AD59" s="20" t="str">
        <x:v>0</x:v>
      </x:c>
      <x:c r="AE59" s="20" t="str">
        <x:v>0</x:v>
      </x:c>
    </x:row>
    <x:row r="60">
      <x:c r="A60" s="20" t="str">
        <x:v>li2023_halueval_hallucination_evaluation</x:v>
      </x:c>
      <x:c r="B60" s="20" t="str">
        <x:v>2023</x:v>
      </x:c>
      <x:c r="C60" s="20" t="str">
        <x:v>HaluEval: A Large-Scale Hallucination Evaluation Benchmark for Large Language Models</x:v>
      </x:c>
      <x:c r="D60" s="20" t="str">
        <x:v>04_Factuality_Methods</x:v>
      </x:c>
      <x:c r="E60" s="20" t="str">
        <x:v>0</x:v>
      </x:c>
      <x:c r="F60" s="20" t="str">
        <x:v>0</x:v>
      </x:c>
      <x:c r="G60" s="20" t="str">
        <x:v>0</x:v>
      </x:c>
      <x:c r="H60" s="20" t="str">
        <x:v>0</x:v>
      </x:c>
      <x:c r="I60" s="20" t="str">
        <x:v>0</x:v>
      </x:c>
      <x:c r="J60" s="20" t="str">
        <x:v>1</x:v>
      </x:c>
      <x:c r="K60" s="20" t="str">
        <x:v>0</x:v>
      </x:c>
      <x:c r="L60" s="20" t="str">
        <x:v>0</x:v>
      </x:c>
      <x:c r="M60" s="20" t="str">
        <x:v>0</x:v>
      </x:c>
      <x:c r="N60" s="20" t="str">
        <x:v>0</x:v>
      </x:c>
      <x:c r="O60" s="20" t="str">
        <x:v>0</x:v>
      </x:c>
      <x:c r="P60" s="20" t="str">
        <x:v>0</x:v>
      </x:c>
      <x:c r="Q60" s="20" t="str">
        <x:v>0</x:v>
      </x:c>
      <x:c r="R60" s="20" t="str">
        <x:v>0</x:v>
      </x:c>
      <x:c r="S60" s="20" t="str">
        <x:v>0</x:v>
      </x:c>
      <x:c r="T60" s="20" t="str">
        <x:v>0</x:v>
      </x:c>
      <x:c r="U60" s="20" t="str">
        <x:v>0</x:v>
      </x:c>
      <x:c r="V60" s="20" t="str">
        <x:v>0</x:v>
      </x:c>
      <x:c r="W60" s="20" t="str">
        <x:v>0</x:v>
      </x:c>
      <x:c r="X60" s="20" t="str">
        <x:v>0</x:v>
      </x:c>
      <x:c r="Y60" s="20" t="str">
        <x:v>0</x:v>
      </x:c>
      <x:c r="Z60" s="20" t="str">
        <x:v>0</x:v>
      </x:c>
      <x:c r="AA60" s="20" t="str">
        <x:v>0</x:v>
      </x:c>
      <x:c r="AB60" s="20" t="str">
        <x:v>0</x:v>
      </x:c>
      <x:c r="AC60" s="20" t="str">
        <x:v>0</x:v>
      </x:c>
      <x:c r="AD60" s="20" t="str">
        <x:v>0</x:v>
      </x:c>
      <x:c r="AE60" s="20" t="str">
        <x:v>0</x:v>
      </x:c>
    </x:row>
    <x:row r="61">
      <x:c r="A61" s="20" t="str">
        <x:v>chen2024_hallucination_detection_robustly</x:v>
      </x:c>
      <x:c r="B61" s="20" t="str">
        <x:v>2024</x:v>
      </x:c>
      <x:c r="C61" s="20" t="str">
        <x:v>Hallucination Detection: Robustly Discerning Reliable Answers in Large Language Models</x:v>
      </x:c>
      <x:c r="D61" s="20" t="str">
        <x:v>04_Factuality_Methods</x:v>
      </x:c>
      <x:c r="E61" s="20" t="str">
        <x:v>0</x:v>
      </x:c>
      <x:c r="F61" s="20" t="str">
        <x:v>0</x:v>
      </x:c>
      <x:c r="G61" s="20" t="str">
        <x:v>0</x:v>
      </x:c>
      <x:c r="H61" s="20" t="str">
        <x:v>0</x:v>
      </x:c>
      <x:c r="I61" s="20" t="str">
        <x:v>0</x:v>
      </x:c>
      <x:c r="J61" s="20" t="str">
        <x:v>0</x:v>
      </x:c>
      <x:c r="K61" s="20" t="str">
        <x:v>1</x:v>
      </x:c>
      <x:c r="L61" s="20" t="str">
        <x:v>0</x:v>
      </x:c>
      <x:c r="M61" s="20" t="str">
        <x:v>0</x:v>
      </x:c>
      <x:c r="N61" s="20" t="str">
        <x:v>0</x:v>
      </x:c>
      <x:c r="O61" s="20" t="str">
        <x:v>0</x:v>
      </x:c>
      <x:c r="P61" s="20" t="str">
        <x:v>0</x:v>
      </x:c>
      <x:c r="Q61" s="20" t="str">
        <x:v>0</x:v>
      </x:c>
      <x:c r="R61" s="20" t="str">
        <x:v>0</x:v>
      </x:c>
      <x:c r="S61" s="20" t="str">
        <x:v>0</x:v>
      </x:c>
      <x:c r="T61" s="20" t="str">
        <x:v>0</x:v>
      </x:c>
      <x:c r="U61" s="20" t="str">
        <x:v>0</x:v>
      </x:c>
      <x:c r="V61" s="20" t="str">
        <x:v>0</x:v>
      </x:c>
      <x:c r="W61" s="20" t="str">
        <x:v>0</x:v>
      </x:c>
      <x:c r="X61" s="20" t="str">
        <x:v>0</x:v>
      </x:c>
      <x:c r="Y61" s="20" t="str">
        <x:v>0</x:v>
      </x:c>
      <x:c r="Z61" s="20" t="str">
        <x:v>0</x:v>
      </x:c>
      <x:c r="AA61" s="20" t="str">
        <x:v>0</x:v>
      </x:c>
      <x:c r="AB61" s="20" t="str">
        <x:v>0</x:v>
      </x:c>
      <x:c r="AC61" s="20" t="str">
        <x:v>0</x:v>
      </x:c>
      <x:c r="AD61" s="20" t="str">
        <x:v>0</x:v>
      </x:c>
      <x:c r="AE61" s="20" t="str">
        <x:v>0</x:v>
      </x:c>
    </x:row>
    <x:row r="62">
      <x:c r="A62" s="20" t="str">
        <x:v>tam2023_checking_facts_fact</x:v>
      </x:c>
      <x:c r="B62" s="20" t="str">
        <x:v>2023</x:v>
      </x:c>
      <x:c r="C62" s="20" t="str">
        <x:v>Checking the Facts: A Survey of Fact-Checking with Large Language Models</x:v>
      </x:c>
      <x:c r="D62" s="20" t="str">
        <x:v>04_Factuality_Methods</x:v>
      </x:c>
      <x:c r="E62" s="20" t="str">
        <x:v>0</x:v>
      </x:c>
      <x:c r="F62" s="20" t="str">
        <x:v>0</x:v>
      </x:c>
      <x:c r="G62" s="20" t="str">
        <x:v>0</x:v>
      </x:c>
      <x:c r="H62" s="20" t="str">
        <x:v>0</x:v>
      </x:c>
      <x:c r="I62" s="20" t="str">
        <x:v>0</x:v>
      </x:c>
      <x:c r="J62" s="20" t="str">
        <x:v>0</x:v>
      </x:c>
      <x:c r="K62" s="20" t="str">
        <x:v>0</x:v>
      </x:c>
      <x:c r="L62" s="20" t="str">
        <x:v>0</x:v>
      </x:c>
      <x:c r="M62" s="20" t="str">
        <x:v>0</x:v>
      </x:c>
      <x:c r="N62" s="20" t="str">
        <x:v>0</x:v>
      </x:c>
      <x:c r="O62" s="20" t="str">
        <x:v>0</x:v>
      </x:c>
      <x:c r="P62" s="20" t="str">
        <x:v>0</x:v>
      </x:c>
      <x:c r="Q62" s="20" t="str">
        <x:v>0</x:v>
      </x:c>
      <x:c r="R62" s="20" t="str">
        <x:v>0</x:v>
      </x:c>
      <x:c r="S62" s="20" t="str">
        <x:v>0</x:v>
      </x:c>
      <x:c r="T62" s="20" t="str">
        <x:v>0</x:v>
      </x:c>
      <x:c r="U62" s="20" t="str">
        <x:v>0</x:v>
      </x:c>
      <x:c r="V62" s="20" t="str">
        <x:v>0</x:v>
      </x:c>
      <x:c r="W62" s="20" t="str">
        <x:v>0</x:v>
      </x:c>
      <x:c r="X62" s="20" t="str">
        <x:v>0</x:v>
      </x:c>
      <x:c r="Y62" s="20" t="str">
        <x:v>0</x:v>
      </x:c>
      <x:c r="Z62" s="20" t="str">
        <x:v>0</x:v>
      </x:c>
      <x:c r="AA62" s="20" t="str">
        <x:v>0</x:v>
      </x:c>
      <x:c r="AB62" s="20" t="str">
        <x:v>0</x:v>
      </x:c>
      <x:c r="AC62" s="20" t="str">
        <x:v>0</x:v>
      </x:c>
      <x:c r="AD62" s="20" t="str">
        <x:v>0</x:v>
      </x:c>
      <x:c r="AE62" s="20" t="str">
        <x:v>1</x:v>
      </x:c>
    </x:row>
    <x:row r="63">
      <x:c r="A63" s="20" t="str">
        <x:v>huang2025_hallucination_language_principles</x:v>
      </x:c>
      <x:c r="B63" s="20" t="str">
        <x:v>2025</x:v>
      </x:c>
      <x:c r="C63" s="20" t="str">
        <x:v>A Survey on Hallucination in Large Language Models: Principles, Taxonomy, Challenges, and Open Questions</x:v>
      </x:c>
      <x:c r="D63" s="20" t="str">
        <x:v>04_Factuality_Methods</x:v>
      </x:c>
      <x:c r="E63" s="20" t="str">
        <x:v>0</x:v>
      </x:c>
      <x:c r="F63" s="20" t="str">
        <x:v>0</x:v>
      </x:c>
      <x:c r="G63" s="20" t="str">
        <x:v>0</x:v>
      </x:c>
      <x:c r="H63" s="20" t="str">
        <x:v>0</x:v>
      </x:c>
      <x:c r="I63" s="20" t="str">
        <x:v>0</x:v>
      </x:c>
      <x:c r="J63" s="20" t="str">
        <x:v>0</x:v>
      </x:c>
      <x:c r="K63" s="20" t="str">
        <x:v>0</x:v>
      </x:c>
      <x:c r="L63" s="20" t="str">
        <x:v>0</x:v>
      </x:c>
      <x:c r="M63" s="20" t="str">
        <x:v>0</x:v>
      </x:c>
      <x:c r="N63" s="20" t="str">
        <x:v>0</x:v>
      </x:c>
      <x:c r="O63" s="20" t="str">
        <x:v>0</x:v>
      </x:c>
      <x:c r="P63" s="20" t="str">
        <x:v>0</x:v>
      </x:c>
      <x:c r="Q63" s="20" t="str">
        <x:v>0</x:v>
      </x:c>
      <x:c r="R63" s="20" t="str">
        <x:v>0</x:v>
      </x:c>
      <x:c r="S63" s="20" t="str">
        <x:v>0</x:v>
      </x:c>
      <x:c r="T63" s="20" t="str">
        <x:v>0</x:v>
      </x:c>
      <x:c r="U63" s="20" t="str">
        <x:v>0</x:v>
      </x:c>
      <x:c r="V63" s="20" t="str">
        <x:v>0</x:v>
      </x:c>
      <x:c r="W63" s="20" t="str">
        <x:v>0</x:v>
      </x:c>
      <x:c r="X63" s="20" t="str">
        <x:v>0</x:v>
      </x:c>
      <x:c r="Y63" s="20" t="str">
        <x:v>0</x:v>
      </x:c>
      <x:c r="Z63" s="20" t="str">
        <x:v>0</x:v>
      </x:c>
      <x:c r="AA63" s="20" t="str">
        <x:v>0</x:v>
      </x:c>
      <x:c r="AB63" s="20" t="str">
        <x:v>0</x:v>
      </x:c>
      <x:c r="AC63" s="20" t="str">
        <x:v>0</x:v>
      </x:c>
      <x:c r="AD63" s="20" t="str">
        <x:v>0</x:v>
      </x:c>
      <x:c r="AE63" s="20" t="str">
        <x:v>1</x:v>
      </x:c>
    </x:row>
    <x:row r="64">
      <x:c r="A64" s="20" t="str">
        <x:v>liu2024_lost_middle_how</x:v>
      </x:c>
      <x:c r="B64" s="20" t="str">
        <x:v>2024</x:v>
      </x:c>
      <x:c r="C64" s="20" t="str">
        <x:v>Lost in the Middle: How Language Models Use Long Contexts</x:v>
      </x:c>
      <x:c r="D64" s="20" t="str">
        <x:v>04_Factuality_Methods</x:v>
      </x:c>
      <x:c r="E64" s="20" t="str">
        <x:v>0</x:v>
      </x:c>
      <x:c r="F64" s="20" t="str">
        <x:v>0</x:v>
      </x:c>
      <x:c r="G64" s="20" t="str">
        <x:v>0</x:v>
      </x:c>
      <x:c r="H64" s="20" t="str">
        <x:v>0</x:v>
      </x:c>
      <x:c r="I64" s="20" t="str">
        <x:v>0</x:v>
      </x:c>
      <x:c r="J64" s="20" t="str">
        <x:v>0</x:v>
      </x:c>
      <x:c r="K64" s="20" t="str">
        <x:v>0</x:v>
      </x:c>
      <x:c r="L64" s="20" t="str">
        <x:v>0</x:v>
      </x:c>
      <x:c r="M64" s="20" t="str">
        <x:v>1</x:v>
      </x:c>
      <x:c r="N64" s="20" t="str">
        <x:v>0</x:v>
      </x:c>
      <x:c r="O64" s="20" t="str">
        <x:v>0</x:v>
      </x:c>
      <x:c r="P64" s="20" t="str">
        <x:v>0</x:v>
      </x:c>
      <x:c r="Q64" s="20" t="str">
        <x:v>0</x:v>
      </x:c>
      <x:c r="R64" s="20" t="str">
        <x:v>0</x:v>
      </x:c>
      <x:c r="S64" s="20" t="str">
        <x:v>0</x:v>
      </x:c>
      <x:c r="T64" s="20" t="str">
        <x:v>0</x:v>
      </x:c>
      <x:c r="U64" s="20" t="str">
        <x:v>0</x:v>
      </x:c>
      <x:c r="V64" s="20" t="str">
        <x:v>0</x:v>
      </x:c>
      <x:c r="W64" s="20" t="str">
        <x:v>0</x:v>
      </x:c>
      <x:c r="X64" s="20" t="str">
        <x:v>0</x:v>
      </x:c>
      <x:c r="Y64" s="20" t="str">
        <x:v>0</x:v>
      </x:c>
      <x:c r="Z64" s="20" t="str">
        <x:v>0</x:v>
      </x:c>
      <x:c r="AA64" s="20" t="str">
        <x:v>0</x:v>
      </x:c>
      <x:c r="AB64" s="20" t="str">
        <x:v>0</x:v>
      </x:c>
      <x:c r="AC64" s="20" t="str">
        <x:v>0</x:v>
      </x:c>
      <x:c r="AD64" s="20" t="str">
        <x:v>0</x:v>
      </x:c>
      <x:c r="AE64" s="20" t="str">
        <x:v>0</x:v>
      </x:c>
    </x:row>
    <x:row r="65">
      <x:c r="A65" s="20" t="str">
        <x:v>romanov2018_lessons_natural_language</x:v>
      </x:c>
      <x:c r="B65" s="20" t="str">
        <x:v>2018</x:v>
      </x:c>
      <x:c r="C65" s="20" t="str">
        <x:v>Lessons from Natural Language Inference in the Clinical Domain</x:v>
      </x:c>
      <x:c r="D65" s="20" t="str">
        <x:v>07_Medical_NLI</x:v>
      </x:c>
      <x:c r="E65" s="20" t="str">
        <x:v>1</x:v>
      </x:c>
      <x:c r="F65" s="20" t="str">
        <x:v>0</x:v>
      </x:c>
      <x:c r="G65" s="20" t="str">
        <x:v>0</x:v>
      </x:c>
      <x:c r="H65" s="20" t="str">
        <x:v>0</x:v>
      </x:c>
      <x:c r="I65" s="20" t="str">
        <x:v>0</x:v>
      </x:c>
      <x:c r="J65" s="20" t="str">
        <x:v>0</x:v>
      </x:c>
      <x:c r="K65" s="20" t="str">
        <x:v>0</x:v>
      </x:c>
      <x:c r="L65" s="20" t="str">
        <x:v>0</x:v>
      </x:c>
      <x:c r="M65" s="20" t="str">
        <x:v>0</x:v>
      </x:c>
      <x:c r="N65" s="20" t="str">
        <x:v>0</x:v>
      </x:c>
      <x:c r="O65" s="20" t="str">
        <x:v>0</x:v>
      </x:c>
      <x:c r="P65" s="20" t="str">
        <x:v>0</x:v>
      </x:c>
      <x:c r="Q65" s="20" t="str">
        <x:v>0</x:v>
      </x:c>
      <x:c r="R65" s="20" t="str">
        <x:v>0</x:v>
      </x:c>
      <x:c r="S65" s="20" t="str">
        <x:v>0</x:v>
      </x:c>
      <x:c r="T65" s="20" t="str">
        <x:v>0</x:v>
      </x:c>
      <x:c r="U65" s="20" t="str">
        <x:v>0</x:v>
      </x:c>
      <x:c r="V65" s="20" t="str">
        <x:v>0</x:v>
      </x:c>
      <x:c r="W65" s="20" t="str">
        <x:v>0</x:v>
      </x:c>
      <x:c r="X65" s="20" t="str">
        <x:v>0</x:v>
      </x:c>
      <x:c r="Y65" s="20" t="str">
        <x:v>0</x:v>
      </x:c>
      <x:c r="Z65" s="20" t="str">
        <x:v>0</x:v>
      </x:c>
      <x:c r="AA65" s="20" t="str">
        <x:v>0</x:v>
      </x:c>
      <x:c r="AB65" s="20" t="str">
        <x:v>0</x:v>
      </x:c>
      <x:c r="AC65" s="20" t="str">
        <x:v>0</x:v>
      </x:c>
      <x:c r="AD65" s="20" t="str">
        <x:v>0</x:v>
      </x:c>
      <x:c r="AE65" s="20" t="str">
        <x:v>0</x:v>
      </x:c>
    </x:row>
    <x:row r="66">
      <x:c r="A66" s="20" t="str">
        <x:v>conneau2018_xnli_evaluating_cross</x:v>
      </x:c>
      <x:c r="B66" s="20" t="str">
        <x:v>2018</x:v>
      </x:c>
      <x:c r="C66" s="20" t="str">
        <x:v>XNLI: Evaluating Cross-lingual Sentence Representations</x:v>
      </x:c>
      <x:c r="D66" s="20" t="str">
        <x:v>07_Medical_NLI</x:v>
      </x:c>
      <x:c r="E66" s="20" t="str">
        <x:v>1</x:v>
      </x:c>
      <x:c r="F66" s="20" t="str">
        <x:v>0</x:v>
      </x:c>
      <x:c r="G66" s="20" t="str">
        <x:v>0</x:v>
      </x:c>
      <x:c r="H66" s="20" t="str">
        <x:v>0</x:v>
      </x:c>
      <x:c r="I66" s="20" t="str">
        <x:v>0</x:v>
      </x:c>
      <x:c r="J66" s="20" t="str">
        <x:v>0</x:v>
      </x:c>
      <x:c r="K66" s="20" t="str">
        <x:v>0</x:v>
      </x:c>
      <x:c r="L66" s="20" t="str">
        <x:v>0</x:v>
      </x:c>
      <x:c r="M66" s="20" t="str">
        <x:v>0</x:v>
      </x:c>
      <x:c r="N66" s="20" t="str">
        <x:v>0</x:v>
      </x:c>
      <x:c r="O66" s="20" t="str">
        <x:v>0</x:v>
      </x:c>
      <x:c r="P66" s="20" t="str">
        <x:v>0</x:v>
      </x:c>
      <x:c r="Q66" s="20" t="str">
        <x:v>0</x:v>
      </x:c>
      <x:c r="R66" s="20" t="str">
        <x:v>0</x:v>
      </x:c>
      <x:c r="S66" s="20" t="str">
        <x:v>0</x:v>
      </x:c>
      <x:c r="T66" s="20" t="str">
        <x:v>0</x:v>
      </x:c>
      <x:c r="U66" s="20" t="str">
        <x:v>0</x:v>
      </x:c>
      <x:c r="V66" s="20" t="str">
        <x:v>0</x:v>
      </x:c>
      <x:c r="W66" s="20" t="str">
        <x:v>0</x:v>
      </x:c>
      <x:c r="X66" s="20" t="str">
        <x:v>0</x:v>
      </x:c>
      <x:c r="Y66" s="20" t="str">
        <x:v>0</x:v>
      </x:c>
      <x:c r="Z66" s="20" t="str">
        <x:v>0</x:v>
      </x:c>
      <x:c r="AA66" s="20" t="str">
        <x:v>0</x:v>
      </x:c>
      <x:c r="AB66" s="20" t="str">
        <x:v>0</x:v>
      </x:c>
      <x:c r="AC66" s="20" t="str">
        <x:v>0</x:v>
      </x:c>
      <x:c r="AD66" s="20" t="str">
        <x:v>0</x:v>
      </x:c>
      <x:c r="AE66" s="20" t="str">
        <x:v>0</x:v>
      </x:c>
    </x:row>
    <x:row r="67">
      <x:c r="A67" s="20" t="str">
        <x:v>aggarwal2022_indicxnli_evaluating_multilingual</x:v>
      </x:c>
      <x:c r="B67" s="20" t="str">
        <x:v>2022</x:v>
      </x:c>
      <x:c r="C67" s="20" t="str">
        <x:v>IndicXNLI: Evaluating Multilingual Inference for Indian Languages</x:v>
      </x:c>
      <x:c r="D67" s="20" t="str">
        <x:v>07_Medical_NLI</x:v>
      </x:c>
      <x:c r="E67" s="20" t="str">
        <x:v>1</x:v>
      </x:c>
      <x:c r="F67" s="20" t="str">
        <x:v>0</x:v>
      </x:c>
      <x:c r="G67" s="20" t="str">
        <x:v>0</x:v>
      </x:c>
      <x:c r="H67" s="20" t="str">
        <x:v>0</x:v>
      </x:c>
      <x:c r="I67" s="20" t="str">
        <x:v>0</x:v>
      </x:c>
      <x:c r="J67" s="20" t="str">
        <x:v>0</x:v>
      </x:c>
      <x:c r="K67" s="20" t="str">
        <x:v>0</x:v>
      </x:c>
      <x:c r="L67" s="20" t="str">
        <x:v>0</x:v>
      </x:c>
      <x:c r="M67" s="20" t="str">
        <x:v>0</x:v>
      </x:c>
      <x:c r="N67" s="20" t="str">
        <x:v>0</x:v>
      </x:c>
      <x:c r="O67" s="20" t="str">
        <x:v>0</x:v>
      </x:c>
      <x:c r="P67" s="20" t="str">
        <x:v>0</x:v>
      </x:c>
      <x:c r="Q67" s="20" t="str">
        <x:v>0</x:v>
      </x:c>
      <x:c r="R67" s="20" t="str">
        <x:v>0</x:v>
      </x:c>
      <x:c r="S67" s="20" t="str">
        <x:v>0</x:v>
      </x:c>
      <x:c r="T67" s="20" t="str">
        <x:v>0</x:v>
      </x:c>
      <x:c r="U67" s="20" t="str">
        <x:v>0</x:v>
      </x:c>
      <x:c r="V67" s="20" t="str">
        <x:v>0</x:v>
      </x:c>
      <x:c r="W67" s="20" t="str">
        <x:v>0</x:v>
      </x:c>
      <x:c r="X67" s="20" t="str">
        <x:v>0</x:v>
      </x:c>
      <x:c r="Y67" s="20" t="str">
        <x:v>0</x:v>
      </x:c>
      <x:c r="Z67" s="20" t="str">
        <x:v>0</x:v>
      </x:c>
      <x:c r="AA67" s="20" t="str">
        <x:v>0</x:v>
      </x:c>
      <x:c r="AB67" s="20" t="str">
        <x:v>0</x:v>
      </x:c>
      <x:c r="AC67" s="20" t="str">
        <x:v>0</x:v>
      </x:c>
      <x:c r="AD67" s="20" t="str">
        <x:v>0</x:v>
      </x:c>
      <x:c r="AE67" s="20" t="str">
        <x:v>0</x:v>
      </x:c>
    </x:row>
    <x:row r="68">
      <x:c r="A68" s="20" t="str">
        <x:v>bowman2015_annotated_learning_natural</x:v>
      </x:c>
      <x:c r="B68" s="20" t="str">
        <x:v>2015</x:v>
      </x:c>
      <x:c r="C68" s="20" t="str">
        <x:v>A Large Annotated Corpus for Learning Natural Language Inference</x:v>
      </x:c>
      <x:c r="D68" s="20" t="str">
        <x:v>07_Medical_NLI</x:v>
      </x:c>
      <x:c r="E68" s="20" t="str">
        <x:v>1</x:v>
      </x:c>
      <x:c r="F68" s="20" t="str">
        <x:v>0</x:v>
      </x:c>
      <x:c r="G68" s="20" t="str">
        <x:v>0</x:v>
      </x:c>
      <x:c r="H68" s="20" t="str">
        <x:v>0</x:v>
      </x:c>
      <x:c r="I68" s="20" t="str">
        <x:v>0</x:v>
      </x:c>
      <x:c r="J68" s="20" t="str">
        <x:v>0</x:v>
      </x:c>
      <x:c r="K68" s="20" t="str">
        <x:v>0</x:v>
      </x:c>
      <x:c r="L68" s="20" t="str">
        <x:v>0</x:v>
      </x:c>
      <x:c r="M68" s="20" t="str">
        <x:v>0</x:v>
      </x:c>
      <x:c r="N68" s="20" t="str">
        <x:v>0</x:v>
      </x:c>
      <x:c r="O68" s="20" t="str">
        <x:v>0</x:v>
      </x:c>
      <x:c r="P68" s="20" t="str">
        <x:v>0</x:v>
      </x:c>
      <x:c r="Q68" s="20" t="str">
        <x:v>0</x:v>
      </x:c>
      <x:c r="R68" s="20" t="str">
        <x:v>0</x:v>
      </x:c>
      <x:c r="S68" s="20" t="str">
        <x:v>0</x:v>
      </x:c>
      <x:c r="T68" s="20" t="str">
        <x:v>0</x:v>
      </x:c>
      <x:c r="U68" s="20" t="str">
        <x:v>0</x:v>
      </x:c>
      <x:c r="V68" s="20" t="str">
        <x:v>0</x:v>
      </x:c>
      <x:c r="W68" s="20" t="str">
        <x:v>0</x:v>
      </x:c>
      <x:c r="X68" s="20" t="str">
        <x:v>0</x:v>
      </x:c>
      <x:c r="Y68" s="20" t="str">
        <x:v>0</x:v>
      </x:c>
      <x:c r="Z68" s="20" t="str">
        <x:v>0</x:v>
      </x:c>
      <x:c r="AA68" s="20" t="str">
        <x:v>0</x:v>
      </x:c>
      <x:c r="AB68" s="20" t="str">
        <x:v>0</x:v>
      </x:c>
      <x:c r="AC68" s="20" t="str">
        <x:v>0</x:v>
      </x:c>
      <x:c r="AD68" s="20" t="str">
        <x:v>0</x:v>
      </x:c>
      <x:c r="AE68" s="20" t="str">
        <x:v>0</x:v>
      </x:c>
    </x:row>
    <x:row r="69">
      <x:c r="A69" s="20" t="str">
        <x:v>williams2018_broad_coverage_challenge</x:v>
      </x:c>
      <x:c r="B69" s="20" t="str">
        <x:v>2018</x:v>
      </x:c>
      <x:c r="C69" s="20" t="str">
        <x:v>A Broad-Coverage Challenge Corpus for Sentence Understanding through Inference</x:v>
      </x:c>
      <x:c r="D69" s="20" t="str">
        <x:v>07_Medical_NLI</x:v>
      </x:c>
      <x:c r="E69" s="20" t="str">
        <x:v>1</x:v>
      </x:c>
      <x:c r="F69" s="20" t="str">
        <x:v>0</x:v>
      </x:c>
      <x:c r="G69" s="20" t="str">
        <x:v>0</x:v>
      </x:c>
      <x:c r="H69" s="20" t="str">
        <x:v>0</x:v>
      </x:c>
      <x:c r="I69" s="20" t="str">
        <x:v>0</x:v>
      </x:c>
      <x:c r="J69" s="20" t="str">
        <x:v>0</x:v>
      </x:c>
      <x:c r="K69" s="20" t="str">
        <x:v>0</x:v>
      </x:c>
      <x:c r="L69" s="20" t="str">
        <x:v>0</x:v>
      </x:c>
      <x:c r="M69" s="20" t="str">
        <x:v>0</x:v>
      </x:c>
      <x:c r="N69" s="20" t="str">
        <x:v>0</x:v>
      </x:c>
      <x:c r="O69" s="20" t="str">
        <x:v>0</x:v>
      </x:c>
      <x:c r="P69" s="20" t="str">
        <x:v>0</x:v>
      </x:c>
      <x:c r="Q69" s="20" t="str">
        <x:v>0</x:v>
      </x:c>
      <x:c r="R69" s="20" t="str">
        <x:v>0</x:v>
      </x:c>
      <x:c r="S69" s="20" t="str">
        <x:v>0</x:v>
      </x:c>
      <x:c r="T69" s="20" t="str">
        <x:v>0</x:v>
      </x:c>
      <x:c r="U69" s="20" t="str">
        <x:v>0</x:v>
      </x:c>
      <x:c r="V69" s="20" t="str">
        <x:v>0</x:v>
      </x:c>
      <x:c r="W69" s="20" t="str">
        <x:v>0</x:v>
      </x:c>
      <x:c r="X69" s="20" t="str">
        <x:v>0</x:v>
      </x:c>
      <x:c r="Y69" s="20" t="str">
        <x:v>0</x:v>
      </x:c>
      <x:c r="Z69" s="20" t="str">
        <x:v>0</x:v>
      </x:c>
      <x:c r="AA69" s="20" t="str">
        <x:v>0</x:v>
      </x:c>
      <x:c r="AB69" s="20" t="str">
        <x:v>0</x:v>
      </x:c>
      <x:c r="AC69" s="20" t="str">
        <x:v>0</x:v>
      </x:c>
      <x:c r="AD69" s="20" t="str">
        <x:v>0</x:v>
      </x:c>
      <x:c r="AE69" s="20" t="str">
        <x:v>0</x:v>
      </x:c>
    </x:row>
    <x:row r="70">
      <x:c r="A70" s="20" t="str">
        <x:v>herlihy2021_mednli_not_immune</x:v>
      </x:c>
      <x:c r="B70" s="20" t="str">
        <x:v>2021</x:v>
      </x:c>
      <x:c r="C70" s="20" t="str">
        <x:v>MedNLI Is Not Immune: Natural Language Inference Artifacts in the Clinical Domain</x:v>
      </x:c>
      <x:c r="D70" s="20" t="str">
        <x:v>07_Medical_NLI</x:v>
      </x:c>
      <x:c r="E70" s="20" t="str">
        <x:v>1</x:v>
      </x:c>
      <x:c r="F70" s="20" t="str">
        <x:v>0</x:v>
      </x:c>
      <x:c r="G70" s="20" t="str">
        <x:v>0</x:v>
      </x:c>
      <x:c r="H70" s="20" t="str">
        <x:v>0</x:v>
      </x:c>
      <x:c r="I70" s="20" t="str">
        <x:v>0</x:v>
      </x:c>
      <x:c r="J70" s="20" t="str">
        <x:v>0</x:v>
      </x:c>
      <x:c r="K70" s="20" t="str">
        <x:v>0</x:v>
      </x:c>
      <x:c r="L70" s="20" t="str">
        <x:v>0</x:v>
      </x:c>
      <x:c r="M70" s="20" t="str">
        <x:v>0</x:v>
      </x:c>
      <x:c r="N70" s="20" t="str">
        <x:v>0</x:v>
      </x:c>
      <x:c r="O70" s="20" t="str">
        <x:v>0</x:v>
      </x:c>
      <x:c r="P70" s="20" t="str">
        <x:v>0</x:v>
      </x:c>
      <x:c r="Q70" s="20" t="str">
        <x:v>0</x:v>
      </x:c>
      <x:c r="R70" s="20" t="str">
        <x:v>0</x:v>
      </x:c>
      <x:c r="S70" s="20" t="str">
        <x:v>0</x:v>
      </x:c>
      <x:c r="T70" s="20" t="str">
        <x:v>0</x:v>
      </x:c>
      <x:c r="U70" s="20" t="str">
        <x:v>0</x:v>
      </x:c>
      <x:c r="V70" s="20" t="str">
        <x:v>0</x:v>
      </x:c>
      <x:c r="W70" s="20" t="str">
        <x:v>0</x:v>
      </x:c>
      <x:c r="X70" s="20" t="str">
        <x:v>0</x:v>
      </x:c>
      <x:c r="Y70" s="20" t="str">
        <x:v>0</x:v>
      </x:c>
      <x:c r="Z70" s="20" t="str">
        <x:v>0</x:v>
      </x:c>
      <x:c r="AA70" s="20" t="str">
        <x:v>0</x:v>
      </x:c>
      <x:c r="AB70" s="20" t="str">
        <x:v>0</x:v>
      </x:c>
      <x:c r="AC70" s="20" t="str">
        <x:v>0</x:v>
      </x:c>
      <x:c r="AD70" s="20" t="str">
        <x:v>0</x:v>
      </x:c>
      <x:c r="AE70" s="20" t="str">
        <x:v>0</x:v>
      </x:c>
    </x:row>
    <x:row r="71">
      <x:c r="A71" s="20" t="str">
        <x:v>oul2025_turkmednli_turkish_medical</x:v>
      </x:c>
      <x:c r="B71" s="20" t="str">
        <x:v>2025</x:v>
      </x:c>
      <x:c r="C71" s="20" t="str">
        <x:v>TurkMedNLI: A Turkish Medical Natural Language Inference Dataset</x:v>
      </x:c>
      <x:c r="D71" s="20" t="str">
        <x:v>07_Medical_NLI</x:v>
      </x:c>
      <x:c r="E71" s="20" t="str">
        <x:v>1</x:v>
      </x:c>
      <x:c r="F71" s="20" t="str">
        <x:v>0</x:v>
      </x:c>
      <x:c r="G71" s="20" t="str">
        <x:v>0</x:v>
      </x:c>
      <x:c r="H71" s="20" t="str">
        <x:v>0</x:v>
      </x:c>
      <x:c r="I71" s="20" t="str">
        <x:v>0</x:v>
      </x:c>
      <x:c r="J71" s="20" t="str">
        <x:v>0</x:v>
      </x:c>
      <x:c r="K71" s="20" t="str">
        <x:v>0</x:v>
      </x:c>
      <x:c r="L71" s="20" t="str">
        <x:v>0</x:v>
      </x:c>
      <x:c r="M71" s="20" t="str">
        <x:v>0</x:v>
      </x:c>
      <x:c r="N71" s="20" t="str">
        <x:v>0</x:v>
      </x:c>
      <x:c r="O71" s="20" t="str">
        <x:v>0</x:v>
      </x:c>
      <x:c r="P71" s="20" t="str">
        <x:v>0</x:v>
      </x:c>
      <x:c r="Q71" s="20" t="str">
        <x:v>0</x:v>
      </x:c>
      <x:c r="R71" s="20" t="str">
        <x:v>0</x:v>
      </x:c>
      <x:c r="S71" s="20" t="str">
        <x:v>0</x:v>
      </x:c>
      <x:c r="T71" s="20" t="str">
        <x:v>0</x:v>
      </x:c>
      <x:c r="U71" s="20" t="str">
        <x:v>0</x:v>
      </x:c>
      <x:c r="V71" s="20" t="str">
        <x:v>0</x:v>
      </x:c>
      <x:c r="W71" s="20" t="str">
        <x:v>0</x:v>
      </x:c>
      <x:c r="X71" s="20" t="str">
        <x:v>0</x:v>
      </x:c>
      <x:c r="Y71" s="20" t="str">
        <x:v>0</x:v>
      </x:c>
      <x:c r="Z71" s="20" t="str">
        <x:v>0</x:v>
      </x:c>
      <x:c r="AA71" s="20" t="str">
        <x:v>0</x:v>
      </x:c>
      <x:c r="AB71" s="20" t="str">
        <x:v>0</x:v>
      </x:c>
      <x:c r="AC71" s="20" t="str">
        <x:v>0</x:v>
      </x:c>
      <x:c r="AD71" s="20" t="str">
        <x:v>0</x:v>
      </x:c>
      <x:c r="AE71" s="20" t="str">
        <x:v>0</x:v>
      </x:c>
    </x:row>
    <x:row r="72">
      <x:c r="A72" s="20" t="str">
        <x:v>chaban2024_enhancing_medical_nli</x:v>
      </x:c>
      <x:c r="B72" s="20" t="str">
        <x:v>2024</x:v>
      </x:c>
      <x:c r="C72" s="20" t="str">
        <x:v>Enhancing Medical NLI with Integrated Domain Knowledge</x:v>
      </x:c>
      <x:c r="D72" s="20" t="str">
        <x:v>07_Medical_NLI</x:v>
      </x:c>
      <x:c r="E72" s="20" t="str">
        <x:v>1</x:v>
      </x:c>
      <x:c r="F72" s="20" t="str">
        <x:v>0</x:v>
      </x:c>
      <x:c r="G72" s="20" t="str">
        <x:v>0</x:v>
      </x:c>
      <x:c r="H72" s="20" t="str">
        <x:v>0</x:v>
      </x:c>
      <x:c r="I72" s="20" t="str">
        <x:v>0</x:v>
      </x:c>
      <x:c r="J72" s="20" t="str">
        <x:v>0</x:v>
      </x:c>
      <x:c r="K72" s="20" t="str">
        <x:v>0</x:v>
      </x:c>
      <x:c r="L72" s="20" t="str">
        <x:v>0</x:v>
      </x:c>
      <x:c r="M72" s="20" t="str">
        <x:v>0</x:v>
      </x:c>
      <x:c r="N72" s="20" t="str">
        <x:v>0</x:v>
      </x:c>
      <x:c r="O72" s="20" t="str">
        <x:v>0</x:v>
      </x:c>
      <x:c r="P72" s="20" t="str">
        <x:v>0</x:v>
      </x:c>
      <x:c r="Q72" s="20" t="str">
        <x:v>0</x:v>
      </x:c>
      <x:c r="R72" s="20" t="str">
        <x:v>0</x:v>
      </x:c>
      <x:c r="S72" s="20" t="str">
        <x:v>0</x:v>
      </x:c>
      <x:c r="T72" s="20" t="str">
        <x:v>0</x:v>
      </x:c>
      <x:c r="U72" s="20" t="str">
        <x:v>0</x:v>
      </x:c>
      <x:c r="V72" s="20" t="str">
        <x:v>0</x:v>
      </x:c>
      <x:c r="W72" s="20" t="str">
        <x:v>0</x:v>
      </x:c>
      <x:c r="X72" s="20" t="str">
        <x:v>0</x:v>
      </x:c>
      <x:c r="Y72" s="20" t="str">
        <x:v>0</x:v>
      </x:c>
      <x:c r="Z72" s="20" t="str">
        <x:v>0</x:v>
      </x:c>
      <x:c r="AA72" s="20" t="str">
        <x:v>0</x:v>
      </x:c>
      <x:c r="AB72" s="20" t="str">
        <x:v>0</x:v>
      </x:c>
      <x:c r="AC72" s="20" t="str">
        <x:v>0</x:v>
      </x:c>
      <x:c r="AD72" s="20" t="str">
        <x:v>0</x:v>
      </x:c>
      <x:c r="AE72" s="20" t="str">
        <x:v>0</x:v>
      </x:c>
    </x:row>
    <x:row r="73">
      <x:c r="A73" s="20" t="str">
        <x:v>wadden2020_fact_or_fiction</x:v>
      </x:c>
      <x:c r="B73" s="20" t="str">
        <x:v>2020</x:v>
      </x:c>
      <x:c r="C73" s="20" t="str">
        <x:v>Fact or Fiction: Verifying Scientific Claims</x:v>
      </x:c>
      <x:c r="D73" s="20" t="str">
        <x:v>07_Medical_NLI</x:v>
      </x:c>
      <x:c r="E73" s="20" t="str">
        <x:v>0</x:v>
      </x:c>
      <x:c r="F73" s="20" t="str">
        <x:v>0</x:v>
      </x:c>
      <x:c r="G73" s="20" t="str">
        <x:v>0</x:v>
      </x:c>
      <x:c r="H73" s="20" t="str">
        <x:v>0</x:v>
      </x:c>
      <x:c r="I73" s="20" t="str">
        <x:v>0</x:v>
      </x:c>
      <x:c r="J73" s="20" t="str">
        <x:v>0</x:v>
      </x:c>
      <x:c r="K73" s="20" t="str">
        <x:v>0</x:v>
      </x:c>
      <x:c r="L73" s="20" t="str">
        <x:v>0</x:v>
      </x:c>
      <x:c r="M73" s="20" t="str">
        <x:v>0</x:v>
      </x:c>
      <x:c r="N73" s="20" t="str">
        <x:v>0</x:v>
      </x:c>
      <x:c r="O73" s="20" t="str">
        <x:v>0</x:v>
      </x:c>
      <x:c r="P73" s="20" t="str">
        <x:v>0</x:v>
      </x:c>
      <x:c r="Q73" s="20" t="str">
        <x:v>0</x:v>
      </x:c>
      <x:c r="R73" s="20" t="str">
        <x:v>0</x:v>
      </x:c>
      <x:c r="S73" s="20" t="str">
        <x:v>0</x:v>
      </x:c>
      <x:c r="T73" s="20" t="str">
        <x:v>0</x:v>
      </x:c>
      <x:c r="U73" s="20" t="str">
        <x:v>0</x:v>
      </x:c>
      <x:c r="V73" s="20" t="str">
        <x:v>0</x:v>
      </x:c>
      <x:c r="W73" s="20" t="str">
        <x:v>0</x:v>
      </x:c>
      <x:c r="X73" s="20" t="str">
        <x:v>0</x:v>
      </x:c>
      <x:c r="Y73" s="20" t="str">
        <x:v>0</x:v>
      </x:c>
      <x:c r="Z73" s="20" t="str">
        <x:v>0</x:v>
      </x:c>
      <x:c r="AA73" s="20" t="str">
        <x:v>1</x:v>
      </x:c>
      <x:c r="AB73" s="20" t="str">
        <x:v>0</x:v>
      </x:c>
      <x:c r="AC73" s="20" t="str">
        <x:v>0</x:v>
      </x:c>
      <x:c r="AD73" s="20" t="str">
        <x:v>0</x:v>
      </x:c>
      <x:c r="AE73" s="20" t="str">
        <x:v>0</x:v>
      </x:c>
    </x:row>
    <x:row r="74">
      <x:c r="A74" s="20" t="str">
        <x:v>saakyan2021_covid_fact_fact</x:v>
      </x:c>
      <x:c r="B74" s="20" t="str">
        <x:v>2021</x:v>
      </x:c>
      <x:c r="C74" s="20" t="str">
        <x:v>COVID-Fact: Fact Extraction and Verification of Real-World Claims on COVID-19 Pandemic</x:v>
      </x:c>
      <x:c r="D74" s="20" t="str">
        <x:v>07_Medical_NLI</x:v>
      </x:c>
      <x:c r="E74" s="20" t="str">
        <x:v>0</x:v>
      </x:c>
      <x:c r="F74" s="20" t="str">
        <x:v>0</x:v>
      </x:c>
      <x:c r="G74" s="20" t="str">
        <x:v>0</x:v>
      </x:c>
      <x:c r="H74" s="20" t="str">
        <x:v>0</x:v>
      </x:c>
      <x:c r="I74" s="20" t="str">
        <x:v>0</x:v>
      </x:c>
      <x:c r="J74" s="20" t="str">
        <x:v>0</x:v>
      </x:c>
      <x:c r="K74" s="20" t="str">
        <x:v>0</x:v>
      </x:c>
      <x:c r="L74" s="20" t="str">
        <x:v>0</x:v>
      </x:c>
      <x:c r="M74" s="20" t="str">
        <x:v>0</x:v>
      </x:c>
      <x:c r="N74" s="20" t="str">
        <x:v>0</x:v>
      </x:c>
      <x:c r="O74" s="20" t="str">
        <x:v>0</x:v>
      </x:c>
      <x:c r="P74" s="20" t="str">
        <x:v>0</x:v>
      </x:c>
      <x:c r="Q74" s="20" t="str">
        <x:v>0</x:v>
      </x:c>
      <x:c r="R74" s="20" t="str">
        <x:v>0</x:v>
      </x:c>
      <x:c r="S74" s="20" t="str">
        <x:v>0</x:v>
      </x:c>
      <x:c r="T74" s="20" t="str">
        <x:v>0</x:v>
      </x:c>
      <x:c r="U74" s="20" t="str">
        <x:v>0</x:v>
      </x:c>
      <x:c r="V74" s="20" t="str">
        <x:v>0</x:v>
      </x:c>
      <x:c r="W74" s="20" t="str">
        <x:v>0</x:v>
      </x:c>
      <x:c r="X74" s="20" t="str">
        <x:v>0</x:v>
      </x:c>
      <x:c r="Y74" s="20" t="str">
        <x:v>0</x:v>
      </x:c>
      <x:c r="Z74" s="20" t="str">
        <x:v>0</x:v>
      </x:c>
      <x:c r="AA74" s="20" t="str">
        <x:v>1</x:v>
      </x:c>
      <x:c r="AB74" s="20" t="str">
        <x:v>0</x:v>
      </x:c>
      <x:c r="AC74" s="20" t="str">
        <x:v>0</x:v>
      </x:c>
      <x:c r="AD74" s="20" t="str">
        <x:v>0</x:v>
      </x:c>
      <x:c r="AE74" s="20" t="str">
        <x:v>0</x:v>
      </x:c>
    </x:row>
    <x:row r="75">
      <x:c r="A75" s="20" t="str">
        <x:v>kotonya2020_explainable_fact_checking</x:v>
      </x:c>
      <x:c r="B75" s="20" t="str">
        <x:v>2020</x:v>
      </x:c>
      <x:c r="C75" s="20" t="str">
        <x:v>Explainable Automated Fact-Checking for Public Health Claims</x:v>
      </x:c>
      <x:c r="D75" s="20" t="str">
        <x:v>07_Medical_NLI</x:v>
      </x:c>
      <x:c r="E75" s="20" t="str">
        <x:v>0</x:v>
      </x:c>
      <x:c r="F75" s="20" t="str">
        <x:v>0</x:v>
      </x:c>
      <x:c r="G75" s="20" t="str">
        <x:v>0</x:v>
      </x:c>
      <x:c r="H75" s="20" t="str">
        <x:v>0</x:v>
      </x:c>
      <x:c r="I75" s="20" t="str">
        <x:v>0</x:v>
      </x:c>
      <x:c r="J75" s="20" t="str">
        <x:v>0</x:v>
      </x:c>
      <x:c r="K75" s="20" t="str">
        <x:v>0</x:v>
      </x:c>
      <x:c r="L75" s="20" t="str">
        <x:v>0</x:v>
      </x:c>
      <x:c r="M75" s="20" t="str">
        <x:v>0</x:v>
      </x:c>
      <x:c r="N75" s="20" t="str">
        <x:v>0</x:v>
      </x:c>
      <x:c r="O75" s="20" t="str">
        <x:v>0</x:v>
      </x:c>
      <x:c r="P75" s="20" t="str">
        <x:v>0</x:v>
      </x:c>
      <x:c r="Q75" s="20" t="str">
        <x:v>0</x:v>
      </x:c>
      <x:c r="R75" s="20" t="str">
        <x:v>0</x:v>
      </x:c>
      <x:c r="S75" s="20" t="str">
        <x:v>0</x:v>
      </x:c>
      <x:c r="T75" s="20" t="str">
        <x:v>0</x:v>
      </x:c>
      <x:c r="U75" s="20" t="str">
        <x:v>0</x:v>
      </x:c>
      <x:c r="V75" s="20" t="str">
        <x:v>0</x:v>
      </x:c>
      <x:c r="W75" s="20" t="str">
        <x:v>0</x:v>
      </x:c>
      <x:c r="X75" s="20" t="str">
        <x:v>0</x:v>
      </x:c>
      <x:c r="Y75" s="20" t="str">
        <x:v>0</x:v>
      </x:c>
      <x:c r="Z75" s="20" t="str">
        <x:v>0</x:v>
      </x:c>
      <x:c r="AA75" s="20" t="str">
        <x:v>1</x:v>
      </x:c>
      <x:c r="AB75" s="20" t="str">
        <x:v>0</x:v>
      </x:c>
      <x:c r="AC75" s="20" t="str">
        <x:v>0</x:v>
      </x:c>
      <x:c r="AD75" s="20" t="str">
        <x:v>0</x:v>
      </x:c>
      <x:c r="AE75" s="20" t="str">
        <x:v>0</x:v>
      </x:c>
    </x:row>
    <x:row r="76">
      <x:c r="A76" s="20" t="str">
        <x:v>thorne2018_fever_fact_extraction</x:v>
      </x:c>
      <x:c r="B76" s="20" t="str">
        <x:v>2018</x:v>
      </x:c>
      <x:c r="C76" s="20" t="str">
        <x:v>FEVER: A Large-scale Dataset for Fact Extraction and VERification</x:v>
      </x:c>
      <x:c r="D76" s="20" t="str">
        <x:v>07_Medical_NLI</x:v>
      </x:c>
      <x:c r="E76" s="20" t="str">
        <x:v>0</x:v>
      </x:c>
      <x:c r="F76" s="20" t="str">
        <x:v>0</x:v>
      </x:c>
      <x:c r="G76" s="20" t="str">
        <x:v>0</x:v>
      </x:c>
      <x:c r="H76" s="20" t="str">
        <x:v>0</x:v>
      </x:c>
      <x:c r="I76" s="20" t="str">
        <x:v>0</x:v>
      </x:c>
      <x:c r="J76" s="20" t="str">
        <x:v>0</x:v>
      </x:c>
      <x:c r="K76" s="20" t="str">
        <x:v>0</x:v>
      </x:c>
      <x:c r="L76" s="20" t="str">
        <x:v>0</x:v>
      </x:c>
      <x:c r="M76" s="20" t="str">
        <x:v>0</x:v>
      </x:c>
      <x:c r="N76" s="20" t="str">
        <x:v>0</x:v>
      </x:c>
      <x:c r="O76" s="20" t="str">
        <x:v>0</x:v>
      </x:c>
      <x:c r="P76" s="20" t="str">
        <x:v>0</x:v>
      </x:c>
      <x:c r="Q76" s="20" t="str">
        <x:v>0</x:v>
      </x:c>
      <x:c r="R76" s="20" t="str">
        <x:v>0</x:v>
      </x:c>
      <x:c r="S76" s="20" t="str">
        <x:v>0</x:v>
      </x:c>
      <x:c r="T76" s="20" t="str">
        <x:v>0</x:v>
      </x:c>
      <x:c r="U76" s="20" t="str">
        <x:v>0</x:v>
      </x:c>
      <x:c r="V76" s="20" t="str">
        <x:v>0</x:v>
      </x:c>
      <x:c r="W76" s="20" t="str">
        <x:v>0</x:v>
      </x:c>
      <x:c r="X76" s="20" t="str">
        <x:v>0</x:v>
      </x:c>
      <x:c r="Y76" s="20" t="str">
        <x:v>0</x:v>
      </x:c>
      <x:c r="Z76" s="20" t="str">
        <x:v>0</x:v>
      </x:c>
      <x:c r="AA76" s="20" t="str">
        <x:v>1</x:v>
      </x:c>
      <x:c r="AB76" s="20" t="str">
        <x:v>0</x:v>
      </x:c>
      <x:c r="AC76" s="20" t="str">
        <x:v>0</x:v>
      </x:c>
      <x:c r="AD76" s="20" t="str">
        <x:v>0</x:v>
      </x:c>
      <x:c r="AE76" s="20" t="str">
        <x:v>0</x:v>
      </x:c>
    </x:row>
    <x:row r="77">
      <x:c r="A77" s="20" t="str">
        <x:v>nie2019_combining_fact_extraction</x:v>
      </x:c>
      <x:c r="B77" s="20" t="str">
        <x:v>2019</x:v>
      </x:c>
      <x:c r="C77" s="20" t="str">
        <x:v>Combining Fact Extraction and Verification with Neural Semantic Matching Networks</x:v>
      </x:c>
      <x:c r="D77" s="20" t="str">
        <x:v>07_Medical_NLI</x:v>
      </x:c>
      <x:c r="E77" s="20" t="str">
        <x:v>0</x:v>
      </x:c>
      <x:c r="F77" s="20" t="str">
        <x:v>0</x:v>
      </x:c>
      <x:c r="G77" s="20" t="str">
        <x:v>0</x:v>
      </x:c>
      <x:c r="H77" s="20" t="str">
        <x:v>0</x:v>
      </x:c>
      <x:c r="I77" s="20" t="str">
        <x:v>0</x:v>
      </x:c>
      <x:c r="J77" s="20" t="str">
        <x:v>0</x:v>
      </x:c>
      <x:c r="K77" s="20" t="str">
        <x:v>0</x:v>
      </x:c>
      <x:c r="L77" s="20" t="str">
        <x:v>0</x:v>
      </x:c>
      <x:c r="M77" s="20" t="str">
        <x:v>0</x:v>
      </x:c>
      <x:c r="N77" s="20" t="str">
        <x:v>0</x:v>
      </x:c>
      <x:c r="O77" s="20" t="str">
        <x:v>0</x:v>
      </x:c>
      <x:c r="P77" s="20" t="str">
        <x:v>0</x:v>
      </x:c>
      <x:c r="Q77" s="20" t="str">
        <x:v>0</x:v>
      </x:c>
      <x:c r="R77" s="20" t="str">
        <x:v>0</x:v>
      </x:c>
      <x:c r="S77" s="20" t="str">
        <x:v>0</x:v>
      </x:c>
      <x:c r="T77" s="20" t="str">
        <x:v>0</x:v>
      </x:c>
      <x:c r="U77" s="20" t="str">
        <x:v>0</x:v>
      </x:c>
      <x:c r="V77" s="20" t="str">
        <x:v>0</x:v>
      </x:c>
      <x:c r="W77" s="20" t="str">
        <x:v>0</x:v>
      </x:c>
      <x:c r="X77" s="20" t="str">
        <x:v>0</x:v>
      </x:c>
      <x:c r="Y77" s="20" t="str">
        <x:v>0</x:v>
      </x:c>
      <x:c r="Z77" s="20" t="str">
        <x:v>0</x:v>
      </x:c>
      <x:c r="AA77" s="20" t="str">
        <x:v>1</x:v>
      </x:c>
      <x:c r="AB77" s="20" t="str">
        <x:v>0</x:v>
      </x:c>
      <x:c r="AC77" s="20" t="str">
        <x:v>0</x:v>
      </x:c>
      <x:c r="AD77" s="20" t="str">
        <x:v>0</x:v>
      </x:c>
      <x:c r="AE77" s="20" t="str">
        <x:v>0</x:v>
      </x:c>
    </x:row>
    <x:row r="78">
      <x:c r="A78" s="20" t="str">
        <x:v>schuster2021_get_your_vitamin</x:v>
      </x:c>
      <x:c r="B78" s="20" t="str">
        <x:v>2021</x:v>
      </x:c>
      <x:c r="C78" s="20" t="str">
        <x:v>Get Your Vitamin C! Robust Fact Verification with Contrastive Evidence</x:v>
      </x:c>
      <x:c r="D78" s="20" t="str">
        <x:v>07_Medical_NLI</x:v>
      </x:c>
      <x:c r="E78" s="20" t="str">
        <x:v>0</x:v>
      </x:c>
      <x:c r="F78" s="20" t="str">
        <x:v>0</x:v>
      </x:c>
      <x:c r="G78" s="20" t="str">
        <x:v>0</x:v>
      </x:c>
      <x:c r="H78" s="20" t="str">
        <x:v>0</x:v>
      </x:c>
      <x:c r="I78" s="20" t="str">
        <x:v>0</x:v>
      </x:c>
      <x:c r="J78" s="20" t="str">
        <x:v>0</x:v>
      </x:c>
      <x:c r="K78" s="20" t="str">
        <x:v>0</x:v>
      </x:c>
      <x:c r="L78" s="20" t="str">
        <x:v>0</x:v>
      </x:c>
      <x:c r="M78" s="20" t="str">
        <x:v>0</x:v>
      </x:c>
      <x:c r="N78" s="20" t="str">
        <x:v>0</x:v>
      </x:c>
      <x:c r="O78" s="20" t="str">
        <x:v>0</x:v>
      </x:c>
      <x:c r="P78" s="20" t="str">
        <x:v>0</x:v>
      </x:c>
      <x:c r="Q78" s="20" t="str">
        <x:v>0</x:v>
      </x:c>
      <x:c r="R78" s="20" t="str">
        <x:v>0</x:v>
      </x:c>
      <x:c r="S78" s="20" t="str">
        <x:v>0</x:v>
      </x:c>
      <x:c r="T78" s="20" t="str">
        <x:v>0</x:v>
      </x:c>
      <x:c r="U78" s="20" t="str">
        <x:v>0</x:v>
      </x:c>
      <x:c r="V78" s="20" t="str">
        <x:v>0</x:v>
      </x:c>
      <x:c r="W78" s="20" t="str">
        <x:v>0</x:v>
      </x:c>
      <x:c r="X78" s="20" t="str">
        <x:v>0</x:v>
      </x:c>
      <x:c r="Y78" s="20" t="str">
        <x:v>0</x:v>
      </x:c>
      <x:c r="Z78" s="20" t="str">
        <x:v>0</x:v>
      </x:c>
      <x:c r="AA78" s="20" t="str">
        <x:v>1</x:v>
      </x:c>
      <x:c r="AB78" s="20" t="str">
        <x:v>0</x:v>
      </x:c>
      <x:c r="AC78" s="20" t="str">
        <x:v>0</x:v>
      </x:c>
      <x:c r="AD78" s="20" t="str">
        <x:v>0</x:v>
      </x:c>
      <x:c r="AE78" s="20" t="str">
        <x:v>0</x:v>
      </x:c>
    </x:row>
    <x:row r="79">
      <x:c r="A79" s="20" t="str">
        <x:v>zetsu2024_edit_constrained_decoding</x:v>
      </x:c>
      <x:c r="B79" s="20" t="str">
        <x:v>2024</x:v>
      </x:c>
      <x:c r="C79" s="20" t="str">
        <x:v>Edit-Constrained Decoding for Sentence Simplification</x:v>
      </x:c>
      <x:c r="D79" s="20" t="str">
        <x:v>05_Constrained_Decoding</x:v>
      </x:c>
      <x:c r="E79" s="20" t="str">
        <x:v>0</x:v>
      </x:c>
      <x:c r="F79" s="20" t="str">
        <x:v>0</x:v>
      </x:c>
      <x:c r="G79" s="20" t="str">
        <x:v>0</x:v>
      </x:c>
      <x:c r="H79" s="20" t="str">
        <x:v>0</x:v>
      </x:c>
      <x:c r="I79" s="20" t="str">
        <x:v>0</x:v>
      </x:c>
      <x:c r="J79" s="20" t="str">
        <x:v>0</x:v>
      </x:c>
      <x:c r="K79" s="20" t="str">
        <x:v>0</x:v>
      </x:c>
      <x:c r="L79" s="20" t="str">
        <x:v>0</x:v>
      </x:c>
      <x:c r="M79" s="20" t="str">
        <x:v>0</x:v>
      </x:c>
      <x:c r="N79" s="20" t="str">
        <x:v>0</x:v>
      </x:c>
      <x:c r="O79" s="20" t="str">
        <x:v>0</x:v>
      </x:c>
      <x:c r="P79" s="20" t="str">
        <x:v>0</x:v>
      </x:c>
      <x:c r="Q79" s="20" t="str">
        <x:v>0</x:v>
      </x:c>
      <x:c r="R79" s="20" t="str">
        <x:v>0</x:v>
      </x:c>
      <x:c r="S79" s="20" t="str">
        <x:v>0</x:v>
      </x:c>
      <x:c r="T79" s="20" t="str">
        <x:v>1</x:v>
      </x:c>
      <x:c r="U79" s="20" t="str">
        <x:v>0</x:v>
      </x:c>
      <x:c r="V79" s="20" t="str">
        <x:v>0</x:v>
      </x:c>
      <x:c r="W79" s="20" t="str">
        <x:v>0</x:v>
      </x:c>
      <x:c r="X79" s="20" t="str">
        <x:v>0</x:v>
      </x:c>
      <x:c r="Y79" s="20" t="str">
        <x:v>0</x:v>
      </x:c>
      <x:c r="Z79" s="20" t="str">
        <x:v>0</x:v>
      </x:c>
      <x:c r="AA79" s="20" t="str">
        <x:v>0</x:v>
      </x:c>
      <x:c r="AB79" s="20" t="str">
        <x:v>0</x:v>
      </x:c>
      <x:c r="AC79" s="20" t="str">
        <x:v>0</x:v>
      </x:c>
      <x:c r="AD79" s="20" t="str">
        <x:v>0</x:v>
      </x:c>
      <x:c r="AE79" s="20" t="str">
        <x:v>0</x:v>
      </x:c>
    </x:row>
    <x:row r="80">
      <x:c r="A80" s="20" t="str">
        <x:v>hokamp2017_lexically_constrained_decoding</x:v>
      </x:c>
      <x:c r="B80" s="20" t="str">
        <x:v>2017</x:v>
      </x:c>
      <x:c r="C80" s="20" t="str">
        <x:v>Lexically Constrained Decoding for Sequence Generation Using Grid Beam Search</x:v>
      </x:c>
      <x:c r="D80" s="20" t="str">
        <x:v>05_Constrained_Decoding</x:v>
      </x:c>
      <x:c r="E80" s="20" t="str">
        <x:v>0</x:v>
      </x:c>
      <x:c r="F80" s="20" t="str">
        <x:v>0</x:v>
      </x:c>
      <x:c r="G80" s="20" t="str">
        <x:v>0</x:v>
      </x:c>
      <x:c r="H80" s="20" t="str">
        <x:v>0</x:v>
      </x:c>
      <x:c r="I80" s="20" t="str">
        <x:v>0</x:v>
      </x:c>
      <x:c r="J80" s="20" t="str">
        <x:v>0</x:v>
      </x:c>
      <x:c r="K80" s="20" t="str">
        <x:v>0</x:v>
      </x:c>
      <x:c r="L80" s="20" t="str">
        <x:v>0</x:v>
      </x:c>
      <x:c r="M80" s="20" t="str">
        <x:v>0</x:v>
      </x:c>
      <x:c r="N80" s="20" t="str">
        <x:v>0</x:v>
      </x:c>
      <x:c r="O80" s="20" t="str">
        <x:v>0</x:v>
      </x:c>
      <x:c r="P80" s="20" t="str">
        <x:v>0</x:v>
      </x:c>
      <x:c r="Q80" s="20" t="str">
        <x:v>0</x:v>
      </x:c>
      <x:c r="R80" s="20" t="str">
        <x:v>0</x:v>
      </x:c>
      <x:c r="S80" s="20" t="str">
        <x:v>0</x:v>
      </x:c>
      <x:c r="T80" s="20" t="str">
        <x:v>1</x:v>
      </x:c>
      <x:c r="U80" s="20" t="str">
        <x:v>0</x:v>
      </x:c>
      <x:c r="V80" s="20" t="str">
        <x:v>0</x:v>
      </x:c>
      <x:c r="W80" s="20" t="str">
        <x:v>0</x:v>
      </x:c>
      <x:c r="X80" s="20" t="str">
        <x:v>0</x:v>
      </x:c>
      <x:c r="Y80" s="20" t="str">
        <x:v>0</x:v>
      </x:c>
      <x:c r="Z80" s="20" t="str">
        <x:v>0</x:v>
      </x:c>
      <x:c r="AA80" s="20" t="str">
        <x:v>0</x:v>
      </x:c>
      <x:c r="AB80" s="20" t="str">
        <x:v>0</x:v>
      </x:c>
      <x:c r="AC80" s="20" t="str">
        <x:v>0</x:v>
      </x:c>
      <x:c r="AD80" s="20" t="str">
        <x:v>0</x:v>
      </x:c>
      <x:c r="AE80" s="20" t="str">
        <x:v>0</x:v>
      </x:c>
    </x:row>
    <x:row r="81">
      <x:c r="A81" s="20" t="str">
        <x:v>post2018_fast_lexically_constrained</x:v>
      </x:c>
      <x:c r="B81" s="20" t="str">
        <x:v>2018</x:v>
      </x:c>
      <x:c r="C81" s="20" t="str">
        <x:v>Fast Lexically Constrained Decoding with Dynamic Beam Allocation for Neural Machine Translation</x:v>
      </x:c>
      <x:c r="D81" s="20" t="str">
        <x:v>05_Constrained_Decoding</x:v>
      </x:c>
      <x:c r="E81" s="20" t="str">
        <x:v>0</x:v>
      </x:c>
      <x:c r="F81" s="20" t="str">
        <x:v>0</x:v>
      </x:c>
      <x:c r="G81" s="20" t="str">
        <x:v>0</x:v>
      </x:c>
      <x:c r="H81" s="20" t="str">
        <x:v>0</x:v>
      </x:c>
      <x:c r="I81" s="20" t="str">
        <x:v>0</x:v>
      </x:c>
      <x:c r="J81" s="20" t="str">
        <x:v>0</x:v>
      </x:c>
      <x:c r="K81" s="20" t="str">
        <x:v>0</x:v>
      </x:c>
      <x:c r="L81" s="20" t="str">
        <x:v>0</x:v>
      </x:c>
      <x:c r="M81" s="20" t="str">
        <x:v>0</x:v>
      </x:c>
      <x:c r="N81" s="20" t="str">
        <x:v>0</x:v>
      </x:c>
      <x:c r="O81" s="20" t="str">
        <x:v>0</x:v>
      </x:c>
      <x:c r="P81" s="20" t="str">
        <x:v>0</x:v>
      </x:c>
      <x:c r="Q81" s="20" t="str">
        <x:v>0</x:v>
      </x:c>
      <x:c r="R81" s="20" t="str">
        <x:v>0</x:v>
      </x:c>
      <x:c r="S81" s="20" t="str">
        <x:v>0</x:v>
      </x:c>
      <x:c r="T81" s="20" t="str">
        <x:v>1</x:v>
      </x:c>
      <x:c r="U81" s="20" t="str">
        <x:v>0</x:v>
      </x:c>
      <x:c r="V81" s="20" t="str">
        <x:v>0</x:v>
      </x:c>
      <x:c r="W81" s="20" t="str">
        <x:v>0</x:v>
      </x:c>
      <x:c r="X81" s="20" t="str">
        <x:v>0</x:v>
      </x:c>
      <x:c r="Y81" s="20" t="str">
        <x:v>0</x:v>
      </x:c>
      <x:c r="Z81" s="20" t="str">
        <x:v>0</x:v>
      </x:c>
      <x:c r="AA81" s="20" t="str">
        <x:v>0</x:v>
      </x:c>
      <x:c r="AB81" s="20" t="str">
        <x:v>0</x:v>
      </x:c>
      <x:c r="AC81" s="20" t="str">
        <x:v>0</x:v>
      </x:c>
      <x:c r="AD81" s="20" t="str">
        <x:v>0</x:v>
      </x:c>
      <x:c r="AE81" s="20" t="str">
        <x:v>0</x:v>
      </x:c>
    </x:row>
    <x:row r="82">
      <x:c r="A82" s="20" t="str">
        <x:v>anderson2017_guided_open_vocabulary</x:v>
      </x:c>
      <x:c r="B82" s="20" t="str">
        <x:v>2017</x:v>
      </x:c>
      <x:c r="C82" s="20" t="str">
        <x:v>Guided Open Vocabulary Image Captioning with Constrained Beam Search</x:v>
      </x:c>
      <x:c r="D82" s="20" t="str">
        <x:v>05_Constrained_Decoding</x:v>
      </x:c>
      <x:c r="E82" s="20" t="str">
        <x:v>0</x:v>
      </x:c>
      <x:c r="F82" s="20" t="str">
        <x:v>0</x:v>
      </x:c>
      <x:c r="G82" s="20" t="str">
        <x:v>0</x:v>
      </x:c>
      <x:c r="H82" s="20" t="str">
        <x:v>0</x:v>
      </x:c>
      <x:c r="I82" s="20" t="str">
        <x:v>0</x:v>
      </x:c>
      <x:c r="J82" s="20" t="str">
        <x:v>0</x:v>
      </x:c>
      <x:c r="K82" s="20" t="str">
        <x:v>0</x:v>
      </x:c>
      <x:c r="L82" s="20" t="str">
        <x:v>0</x:v>
      </x:c>
      <x:c r="M82" s="20" t="str">
        <x:v>0</x:v>
      </x:c>
      <x:c r="N82" s="20" t="str">
        <x:v>0</x:v>
      </x:c>
      <x:c r="O82" s="20" t="str">
        <x:v>0</x:v>
      </x:c>
      <x:c r="P82" s="20" t="str">
        <x:v>0</x:v>
      </x:c>
      <x:c r="Q82" s="20" t="str">
        <x:v>0</x:v>
      </x:c>
      <x:c r="R82" s="20" t="str">
        <x:v>0</x:v>
      </x:c>
      <x:c r="S82" s="20" t="str">
        <x:v>0</x:v>
      </x:c>
      <x:c r="T82" s="20" t="str">
        <x:v>1</x:v>
      </x:c>
      <x:c r="U82" s="20" t="str">
        <x:v>0</x:v>
      </x:c>
      <x:c r="V82" s="20" t="str">
        <x:v>0</x:v>
      </x:c>
      <x:c r="W82" s="20" t="str">
        <x:v>0</x:v>
      </x:c>
      <x:c r="X82" s="20" t="str">
        <x:v>0</x:v>
      </x:c>
      <x:c r="Y82" s="20" t="str">
        <x:v>0</x:v>
      </x:c>
      <x:c r="Z82" s="20" t="str">
        <x:v>0</x:v>
      </x:c>
      <x:c r="AA82" s="20" t="str">
        <x:v>0</x:v>
      </x:c>
      <x:c r="AB82" s="20" t="str">
        <x:v>0</x:v>
      </x:c>
      <x:c r="AC82" s="20" t="str">
        <x:v>0</x:v>
      </x:c>
      <x:c r="AD82" s="20" t="str">
        <x:v>0</x:v>
      </x:c>
      <x:c r="AE82" s="20" t="str">
        <x:v>0</x:v>
      </x:c>
    </x:row>
    <x:row r="83">
      <x:c r="A83" s="20" t="str">
        <x:v>lu2021_neurologic_decoding_un</x:v>
      </x:c>
      <x:c r="B83" s="20" t="str">
        <x:v>2021</x:v>
      </x:c>
      <x:c r="C83" s="20" t="str">
        <x:v>Neurologic Decoding: (Un)supervised Neural Text Generation with Predicate Logic Constraints</x:v>
      </x:c>
      <x:c r="D83" s="20" t="str">
        <x:v>05_Constrained_Decoding</x:v>
      </x:c>
      <x:c r="E83" s="20" t="str">
        <x:v>0</x:v>
      </x:c>
      <x:c r="F83" s="20" t="str">
        <x:v>0</x:v>
      </x:c>
      <x:c r="G83" s="20" t="str">
        <x:v>0</x:v>
      </x:c>
      <x:c r="H83" s="20" t="str">
        <x:v>0</x:v>
      </x:c>
      <x:c r="I83" s="20" t="str">
        <x:v>0</x:v>
      </x:c>
      <x:c r="J83" s="20" t="str">
        <x:v>0</x:v>
      </x:c>
      <x:c r="K83" s="20" t="str">
        <x:v>0</x:v>
      </x:c>
      <x:c r="L83" s="20" t="str">
        <x:v>0</x:v>
      </x:c>
      <x:c r="M83" s="20" t="str">
        <x:v>0</x:v>
      </x:c>
      <x:c r="N83" s="20" t="str">
        <x:v>0</x:v>
      </x:c>
      <x:c r="O83" s="20" t="str">
        <x:v>0</x:v>
      </x:c>
      <x:c r="P83" s="20" t="str">
        <x:v>0</x:v>
      </x:c>
      <x:c r="Q83" s="20" t="str">
        <x:v>0</x:v>
      </x:c>
      <x:c r="R83" s="20" t="str">
        <x:v>0</x:v>
      </x:c>
      <x:c r="S83" s="20" t="str">
        <x:v>0</x:v>
      </x:c>
      <x:c r="T83" s="20" t="str">
        <x:v>0</x:v>
      </x:c>
      <x:c r="U83" s="20" t="str">
        <x:v>1</x:v>
      </x:c>
      <x:c r="V83" s="20" t="str">
        <x:v>0</x:v>
      </x:c>
      <x:c r="W83" s="20" t="str">
        <x:v>0</x:v>
      </x:c>
      <x:c r="X83" s="20" t="str">
        <x:v>0</x:v>
      </x:c>
      <x:c r="Y83" s="20" t="str">
        <x:v>0</x:v>
      </x:c>
      <x:c r="Z83" s="20" t="str">
        <x:v>0</x:v>
      </x:c>
      <x:c r="AA83" s="20" t="str">
        <x:v>0</x:v>
      </x:c>
      <x:c r="AB83" s="20" t="str">
        <x:v>0</x:v>
      </x:c>
      <x:c r="AC83" s="20" t="str">
        <x:v>0</x:v>
      </x:c>
      <x:c r="AD83" s="20" t="str">
        <x:v>0</x:v>
      </x:c>
      <x:c r="AE83" s="20" t="str">
        <x:v>0</x:v>
      </x:c>
    </x:row>
    <x:row r="84">
      <x:c r="A84" s="20" t="str">
        <x:v>welleck2020_neural_text_generation</x:v>
      </x:c>
      <x:c r="B84" s="20" t="str">
        <x:v>2020</x:v>
      </x:c>
      <x:c r="C84" s="20" t="str">
        <x:v>Neural Text Generation with Unlikelihood Training</x:v>
      </x:c>
      <x:c r="D84" s="20" t="str">
        <x:v>05_Constrained_Decoding</x:v>
      </x:c>
      <x:c r="E84" s="20" t="str">
        <x:v>0</x:v>
      </x:c>
      <x:c r="F84" s="20" t="str">
        <x:v>0</x:v>
      </x:c>
      <x:c r="G84" s="20" t="str">
        <x:v>0</x:v>
      </x:c>
      <x:c r="H84" s="20" t="str">
        <x:v>0</x:v>
      </x:c>
      <x:c r="I84" s="20" t="str">
        <x:v>0</x:v>
      </x:c>
      <x:c r="J84" s="20" t="str">
        <x:v>0</x:v>
      </x:c>
      <x:c r="K84" s="20" t="str">
        <x:v>0</x:v>
      </x:c>
      <x:c r="L84" s="20" t="str">
        <x:v>0</x:v>
      </x:c>
      <x:c r="M84" s="20" t="str">
        <x:v>0</x:v>
      </x:c>
      <x:c r="N84" s="20" t="str">
        <x:v>0</x:v>
      </x:c>
      <x:c r="O84" s="20" t="str">
        <x:v>0</x:v>
      </x:c>
      <x:c r="P84" s="20" t="str">
        <x:v>0</x:v>
      </x:c>
      <x:c r="Q84" s="20" t="str">
        <x:v>0</x:v>
      </x:c>
      <x:c r="R84" s="20" t="str">
        <x:v>0</x:v>
      </x:c>
      <x:c r="S84" s="20" t="str">
        <x:v>0</x:v>
      </x:c>
      <x:c r="T84" s="20" t="str">
        <x:v>0</x:v>
      </x:c>
      <x:c r="U84" s="20" t="str">
        <x:v>0</x:v>
      </x:c>
      <x:c r="V84" s="20" t="str">
        <x:v>0</x:v>
      </x:c>
      <x:c r="W84" s="20" t="str">
        <x:v>1</x:v>
      </x:c>
      <x:c r="X84" s="20" t="str">
        <x:v>0</x:v>
      </x:c>
      <x:c r="Y84" s="20" t="str">
        <x:v>0</x:v>
      </x:c>
      <x:c r="Z84" s="20" t="str">
        <x:v>0</x:v>
      </x:c>
      <x:c r="AA84" s="20" t="str">
        <x:v>0</x:v>
      </x:c>
      <x:c r="AB84" s="20" t="str">
        <x:v>0</x:v>
      </x:c>
      <x:c r="AC84" s="20" t="str">
        <x:v>0</x:v>
      </x:c>
      <x:c r="AD84" s="20" t="str">
        <x:v>0</x:v>
      </x:c>
      <x:c r="AE84" s="20" t="str">
        <x:v>0</x:v>
      </x:c>
    </x:row>
    <x:row r="85">
      <x:c r="A85" s="20" t="str">
        <x:v>pascual2021_plug_play_controlled</x:v>
      </x:c>
      <x:c r="B85" s="20" t="str">
        <x:v>2021</x:v>
      </x:c>
      <x:c r="C85" s="20" t="str">
        <x:v>A Plug-and-Play Method for Controlled Text Generation</x:v>
      </x:c>
      <x:c r="D85" s="20" t="str">
        <x:v>05_Constrained_Decoding</x:v>
      </x:c>
      <x:c r="E85" s="20" t="str">
        <x:v>0</x:v>
      </x:c>
      <x:c r="F85" s="20" t="str">
        <x:v>0</x:v>
      </x:c>
      <x:c r="G85" s="20" t="str">
        <x:v>0</x:v>
      </x:c>
      <x:c r="H85" s="20" t="str">
        <x:v>0</x:v>
      </x:c>
      <x:c r="I85" s="20" t="str">
        <x:v>0</x:v>
      </x:c>
      <x:c r="J85" s="20" t="str">
        <x:v>0</x:v>
      </x:c>
      <x:c r="K85" s="20" t="str">
        <x:v>0</x:v>
      </x:c>
      <x:c r="L85" s="20" t="str">
        <x:v>0</x:v>
      </x:c>
      <x:c r="M85" s="20" t="str">
        <x:v>0</x:v>
      </x:c>
      <x:c r="N85" s="20" t="str">
        <x:v>0</x:v>
      </x:c>
      <x:c r="O85" s="20" t="str">
        <x:v>0</x:v>
      </x:c>
      <x:c r="P85" s="20" t="str">
        <x:v>0</x:v>
      </x:c>
      <x:c r="Q85" s="20" t="str">
        <x:v>0</x:v>
      </x:c>
      <x:c r="R85" s="20" t="str">
        <x:v>0</x:v>
      </x:c>
      <x:c r="S85" s="20" t="str">
        <x:v>0</x:v>
      </x:c>
      <x:c r="T85" s="20" t="str">
        <x:v>0</x:v>
      </x:c>
      <x:c r="U85" s="20" t="str">
        <x:v>0</x:v>
      </x:c>
      <x:c r="V85" s="20" t="str">
        <x:v>0</x:v>
      </x:c>
      <x:c r="W85" s="20" t="str">
        <x:v>1</x:v>
      </x:c>
      <x:c r="X85" s="20" t="str">
        <x:v>0</x:v>
      </x:c>
      <x:c r="Y85" s="20" t="str">
        <x:v>0</x:v>
      </x:c>
      <x:c r="Z85" s="20" t="str">
        <x:v>0</x:v>
      </x:c>
      <x:c r="AA85" s="20" t="str">
        <x:v>0</x:v>
      </x:c>
      <x:c r="AB85" s="20" t="str">
        <x:v>0</x:v>
      </x:c>
      <x:c r="AC85" s="20" t="str">
        <x:v>0</x:v>
      </x:c>
      <x:c r="AD85" s="20" t="str">
        <x:v>0</x:v>
      </x:c>
      <x:c r="AE85" s="20" t="str">
        <x:v>0</x:v>
      </x:c>
    </x:row>
    <x:row r="86">
      <x:c r="A86" s="20" t="str">
        <x:v>dathathri2020_plug_play_language</x:v>
      </x:c>
      <x:c r="B86" s="20" t="str">
        <x:v>2020</x:v>
      </x:c>
      <x:c r="C86" s="20" t="str">
        <x:v>Plug and Play Language Models: A Simple Approach to Controlled Text Generation</x:v>
      </x:c>
      <x:c r="D86" s="20" t="str">
        <x:v>05_Constrained_Decoding</x:v>
      </x:c>
      <x:c r="E86" s="20" t="str">
        <x:v>0</x:v>
      </x:c>
      <x:c r="F86" s="20" t="str">
        <x:v>0</x:v>
      </x:c>
      <x:c r="G86" s="20" t="str">
        <x:v>0</x:v>
      </x:c>
      <x:c r="H86" s="20" t="str">
        <x:v>0</x:v>
      </x:c>
      <x:c r="I86" s="20" t="str">
        <x:v>0</x:v>
      </x:c>
      <x:c r="J86" s="20" t="str">
        <x:v>0</x:v>
      </x:c>
      <x:c r="K86" s="20" t="str">
        <x:v>0</x:v>
      </x:c>
      <x:c r="L86" s="20" t="str">
        <x:v>0</x:v>
      </x:c>
      <x:c r="M86" s="20" t="str">
        <x:v>0</x:v>
      </x:c>
      <x:c r="N86" s="20" t="str">
        <x:v>0</x:v>
      </x:c>
      <x:c r="O86" s="20" t="str">
        <x:v>0</x:v>
      </x:c>
      <x:c r="P86" s="20" t="str">
        <x:v>0</x:v>
      </x:c>
      <x:c r="Q86" s="20" t="str">
        <x:v>0</x:v>
      </x:c>
      <x:c r="R86" s="20" t="str">
        <x:v>0</x:v>
      </x:c>
      <x:c r="S86" s="20" t="str">
        <x:v>0</x:v>
      </x:c>
      <x:c r="T86" s="20" t="str">
        <x:v>0</x:v>
      </x:c>
      <x:c r="U86" s="20" t="str">
        <x:v>0</x:v>
      </x:c>
      <x:c r="V86" s="20" t="str">
        <x:v>0</x:v>
      </x:c>
      <x:c r="W86" s="20" t="str">
        <x:v>1</x:v>
      </x:c>
      <x:c r="X86" s="20" t="str">
        <x:v>0</x:v>
      </x:c>
      <x:c r="Y86" s="20" t="str">
        <x:v>0</x:v>
      </x:c>
      <x:c r="Z86" s="20" t="str">
        <x:v>0</x:v>
      </x:c>
      <x:c r="AA86" s="20" t="str">
        <x:v>0</x:v>
      </x:c>
      <x:c r="AB86" s="20" t="str">
        <x:v>0</x:v>
      </x:c>
      <x:c r="AC86" s="20" t="str">
        <x:v>0</x:v>
      </x:c>
      <x:c r="AD86" s="20" t="str">
        <x:v>0</x:v>
      </x:c>
      <x:c r="AE86" s="20" t="str">
        <x:v>0</x:v>
      </x:c>
    </x:row>
    <x:row r="87">
      <x:c r="A87" s="20" t="str">
        <x:v>krause2021_gedi_generative_discriminator</x:v>
      </x:c>
      <x:c r="B87" s="20" t="str">
        <x:v>2021</x:v>
      </x:c>
      <x:c r="C87" s="20" t="str">
        <x:v>GeDi: Generative Discriminator Guided Sequence Generation</x:v>
      </x:c>
      <x:c r="D87" s="20" t="str">
        <x:v>05_Constrained_Decoding</x:v>
      </x:c>
      <x:c r="E87" s="20" t="str">
        <x:v>0</x:v>
      </x:c>
      <x:c r="F87" s="20" t="str">
        <x:v>0</x:v>
      </x:c>
      <x:c r="G87" s="20" t="str">
        <x:v>0</x:v>
      </x:c>
      <x:c r="H87" s="20" t="str">
        <x:v>0</x:v>
      </x:c>
      <x:c r="I87" s="20" t="str">
        <x:v>0</x:v>
      </x:c>
      <x:c r="J87" s="20" t="str">
        <x:v>0</x:v>
      </x:c>
      <x:c r="K87" s="20" t="str">
        <x:v>0</x:v>
      </x:c>
      <x:c r="L87" s="20" t="str">
        <x:v>0</x:v>
      </x:c>
      <x:c r="M87" s="20" t="str">
        <x:v>0</x:v>
      </x:c>
      <x:c r="N87" s="20" t="str">
        <x:v>0</x:v>
      </x:c>
      <x:c r="O87" s="20" t="str">
        <x:v>0</x:v>
      </x:c>
      <x:c r="P87" s="20" t="str">
        <x:v>0</x:v>
      </x:c>
      <x:c r="Q87" s="20" t="str">
        <x:v>0</x:v>
      </x:c>
      <x:c r="R87" s="20" t="str">
        <x:v>0</x:v>
      </x:c>
      <x:c r="S87" s="20" t="str">
        <x:v>0</x:v>
      </x:c>
      <x:c r="T87" s="20" t="str">
        <x:v>0</x:v>
      </x:c>
      <x:c r="U87" s="20" t="str">
        <x:v>0</x:v>
      </x:c>
      <x:c r="V87" s="20" t="str">
        <x:v>0</x:v>
      </x:c>
      <x:c r="W87" s="20" t="str">
        <x:v>1</x:v>
      </x:c>
      <x:c r="X87" s="20" t="str">
        <x:v>0</x:v>
      </x:c>
      <x:c r="Y87" s="20" t="str">
        <x:v>0</x:v>
      </x:c>
      <x:c r="Z87" s="20" t="str">
        <x:v>0</x:v>
      </x:c>
      <x:c r="AA87" s="20" t="str">
        <x:v>0</x:v>
      </x:c>
      <x:c r="AB87" s="20" t="str">
        <x:v>0</x:v>
      </x:c>
      <x:c r="AC87" s="20" t="str">
        <x:v>0</x:v>
      </x:c>
      <x:c r="AD87" s="20" t="str">
        <x:v>0</x:v>
      </x:c>
      <x:c r="AE87" s="20" t="str">
        <x:v>0</x:v>
      </x:c>
    </x:row>
    <x:row r="88">
      <x:c r="A88" s="20" t="str">
        <x:v>shin2020_autoprompt_eliciting_knowledge</x:v>
      </x:c>
      <x:c r="B88" s="20" t="str">
        <x:v>2020</x:v>
      </x:c>
      <x:c r="C88" s="20" t="str">
        <x:v>AutoPrompt: Eliciting Knowledge from Language Models with Automatically Generated Prompts</x:v>
      </x:c>
      <x:c r="D88" s="20" t="str">
        <x:v>05_Constrained_Decoding</x:v>
      </x:c>
      <x:c r="E88" s="20" t="str">
        <x:v>0</x:v>
      </x:c>
      <x:c r="F88" s="20" t="str">
        <x:v>0</x:v>
      </x:c>
      <x:c r="G88" s="20" t="str">
        <x:v>0</x:v>
      </x:c>
      <x:c r="H88" s="20" t="str">
        <x:v>0</x:v>
      </x:c>
      <x:c r="I88" s="20" t="str">
        <x:v>0</x:v>
      </x:c>
      <x:c r="J88" s="20" t="str">
        <x:v>0</x:v>
      </x:c>
      <x:c r="K88" s="20" t="str">
        <x:v>0</x:v>
      </x:c>
      <x:c r="L88" s="20" t="str">
        <x:v>0</x:v>
      </x:c>
      <x:c r="M88" s="20" t="str">
        <x:v>0</x:v>
      </x:c>
      <x:c r="N88" s="20" t="str">
        <x:v>0</x:v>
      </x:c>
      <x:c r="O88" s="20" t="str">
        <x:v>0</x:v>
      </x:c>
      <x:c r="P88" s="20" t="str">
        <x:v>0</x:v>
      </x:c>
      <x:c r="Q88" s="20" t="str">
        <x:v>0</x:v>
      </x:c>
      <x:c r="R88" s="20" t="str">
        <x:v>0</x:v>
      </x:c>
      <x:c r="S88" s="20" t="str">
        <x:v>0</x:v>
      </x:c>
      <x:c r="T88" s="20" t="str">
        <x:v>0</x:v>
      </x:c>
      <x:c r="U88" s="20" t="str">
        <x:v>0</x:v>
      </x:c>
      <x:c r="V88" s="20" t="str">
        <x:v>0</x:v>
      </x:c>
      <x:c r="W88" s="20" t="str">
        <x:v>1</x:v>
      </x:c>
      <x:c r="X88" s="20" t="str">
        <x:v>0</x:v>
      </x:c>
      <x:c r="Y88" s="20" t="str">
        <x:v>0</x:v>
      </x:c>
      <x:c r="Z88" s="20" t="str">
        <x:v>0</x:v>
      </x:c>
      <x:c r="AA88" s="20" t="str">
        <x:v>0</x:v>
      </x:c>
      <x:c r="AB88" s="20" t="str">
        <x:v>0</x:v>
      </x:c>
      <x:c r="AC88" s="20" t="str">
        <x:v>0</x:v>
      </x:c>
      <x:c r="AD88" s="20" t="str">
        <x:v>0</x:v>
      </x:c>
      <x:c r="AE88" s="20" t="str">
        <x:v>0</x:v>
      </x:c>
    </x:row>
    <x:row r="89">
      <x:c r="A89" s="20" t="str">
        <x:v>hu2017_controlled_generation_text</x:v>
      </x:c>
      <x:c r="B89" s="20" t="str">
        <x:v>2017</x:v>
      </x:c>
      <x:c r="C89" s="20" t="str">
        <x:v>Toward Controlled Generation of Text</x:v>
      </x:c>
      <x:c r="D89" s="20" t="str">
        <x:v>05_Constrained_Decoding</x:v>
      </x:c>
      <x:c r="E89" s="20" t="str">
        <x:v>0</x:v>
      </x:c>
      <x:c r="F89" s="20" t="str">
        <x:v>0</x:v>
      </x:c>
      <x:c r="G89" s="20" t="str">
        <x:v>0</x:v>
      </x:c>
      <x:c r="H89" s="20" t="str">
        <x:v>0</x:v>
      </x:c>
      <x:c r="I89" s="20" t="str">
        <x:v>0</x:v>
      </x:c>
      <x:c r="J89" s="20" t="str">
        <x:v>0</x:v>
      </x:c>
      <x:c r="K89" s="20" t="str">
        <x:v>0</x:v>
      </x:c>
      <x:c r="L89" s="20" t="str">
        <x:v>0</x:v>
      </x:c>
      <x:c r="M89" s="20" t="str">
        <x:v>0</x:v>
      </x:c>
      <x:c r="N89" s="20" t="str">
        <x:v>0</x:v>
      </x:c>
      <x:c r="O89" s="20" t="str">
        <x:v>0</x:v>
      </x:c>
      <x:c r="P89" s="20" t="str">
        <x:v>0</x:v>
      </x:c>
      <x:c r="Q89" s="20" t="str">
        <x:v>0</x:v>
      </x:c>
      <x:c r="R89" s="20" t="str">
        <x:v>0</x:v>
      </x:c>
      <x:c r="S89" s="20" t="str">
        <x:v>0</x:v>
      </x:c>
      <x:c r="T89" s="20" t="str">
        <x:v>0</x:v>
      </x:c>
      <x:c r="U89" s="20" t="str">
        <x:v>0</x:v>
      </x:c>
      <x:c r="V89" s="20" t="str">
        <x:v>0</x:v>
      </x:c>
      <x:c r="W89" s="20" t="str">
        <x:v>1</x:v>
      </x:c>
      <x:c r="X89" s="20" t="str">
        <x:v>0</x:v>
      </x:c>
      <x:c r="Y89" s="20" t="str">
        <x:v>0</x:v>
      </x:c>
      <x:c r="Z89" s="20" t="str">
        <x:v>0</x:v>
      </x:c>
      <x:c r="AA89" s="20" t="str">
        <x:v>0</x:v>
      </x:c>
      <x:c r="AB89" s="20" t="str">
        <x:v>0</x:v>
      </x:c>
      <x:c r="AC89" s="20" t="str">
        <x:v>0</x:v>
      </x:c>
      <x:c r="AD89" s="20" t="str">
        <x:v>0</x:v>
      </x:c>
      <x:c r="AE89" s="20" t="str">
        <x:v>0</x:v>
      </x:c>
    </x:row>
    <x:row r="90">
      <x:c r="A90" s="20" t="str">
        <x:v>kumar2020_controlled_text_generation</x:v>
      </x:c>
      <x:c r="B90" s="20" t="str">
        <x:v>2020</x:v>
      </x:c>
      <x:c r="C90" s="20" t="str">
        <x:v>Controlled Text Generation as Continuous Optimization with Multiple Constraints</x:v>
      </x:c>
      <x:c r="D90" s="20" t="str">
        <x:v>05_Constrained_Decoding</x:v>
      </x:c>
      <x:c r="E90" s="20" t="str">
        <x:v>0</x:v>
      </x:c>
      <x:c r="F90" s="20" t="str">
        <x:v>0</x:v>
      </x:c>
      <x:c r="G90" s="20" t="str">
        <x:v>0</x:v>
      </x:c>
      <x:c r="H90" s="20" t="str">
        <x:v>0</x:v>
      </x:c>
      <x:c r="I90" s="20" t="str">
        <x:v>0</x:v>
      </x:c>
      <x:c r="J90" s="20" t="str">
        <x:v>0</x:v>
      </x:c>
      <x:c r="K90" s="20" t="str">
        <x:v>0</x:v>
      </x:c>
      <x:c r="L90" s="20" t="str">
        <x:v>1</x:v>
      </x:c>
      <x:c r="M90" s="20" t="str">
        <x:v>0</x:v>
      </x:c>
      <x:c r="N90" s="20" t="str">
        <x:v>0</x:v>
      </x:c>
      <x:c r="O90" s="20" t="str">
        <x:v>0</x:v>
      </x:c>
      <x:c r="P90" s="20" t="str">
        <x:v>0</x:v>
      </x:c>
      <x:c r="Q90" s="20" t="str">
        <x:v>0</x:v>
      </x:c>
      <x:c r="R90" s="20" t="str">
        <x:v>0</x:v>
      </x:c>
      <x:c r="S90" s="20" t="str">
        <x:v>0</x:v>
      </x:c>
      <x:c r="T90" s="20" t="str">
        <x:v>0</x:v>
      </x:c>
      <x:c r="U90" s="20" t="str">
        <x:v>0</x:v>
      </x:c>
      <x:c r="V90" s="20" t="str">
        <x:v>0</x:v>
      </x:c>
      <x:c r="W90" s="20" t="str">
        <x:v>0</x:v>
      </x:c>
      <x:c r="X90" s="20" t="str">
        <x:v>0</x:v>
      </x:c>
      <x:c r="Y90" s="20" t="str">
        <x:v>0</x:v>
      </x:c>
      <x:c r="Z90" s="20" t="str">
        <x:v>0</x:v>
      </x:c>
      <x:c r="AA90" s="20" t="str">
        <x:v>0</x:v>
      </x:c>
      <x:c r="AB90" s="20" t="str">
        <x:v>0</x:v>
      </x:c>
      <x:c r="AC90" s="20" t="str">
        <x:v>0</x:v>
      </x:c>
      <x:c r="AD90" s="20" t="str">
        <x:v>0</x:v>
      </x:c>
      <x:c r="AE90" s="20" t="str">
        <x:v>0</x:v>
      </x:c>
    </x:row>
    <x:row r="91">
      <x:c r="A91" s="20" t="str">
        <x:v>lewis2020_retrieval_augmented_generation</x:v>
      </x:c>
      <x:c r="B91" s="20" t="str">
        <x:v>2020</x:v>
      </x:c>
      <x:c r="C91" s="20" t="str">
        <x:v>Retrieval-Augmented Generation for Knowledge-Intensive NLP Tasks</x:v>
      </x:c>
      <x:c r="D91" s="20" t="str">
        <x:v>06_RAG_KG_Medical</x:v>
      </x:c>
      <x:c r="E91" s="20" t="str">
        <x:v>0</x:v>
      </x:c>
      <x:c r="F91" s="20" t="str">
        <x:v>0</x:v>
      </x:c>
      <x:c r="G91" s="20" t="str">
        <x:v>0</x:v>
      </x:c>
      <x:c r="H91" s="20" t="str">
        <x:v>0</x:v>
      </x:c>
      <x:c r="I91" s="20" t="str">
        <x:v>0</x:v>
      </x:c>
      <x:c r="J91" s="20" t="str">
        <x:v>0</x:v>
      </x:c>
      <x:c r="K91" s="20" t="str">
        <x:v>0</x:v>
      </x:c>
      <x:c r="L91" s="20" t="str">
        <x:v>0</x:v>
      </x:c>
      <x:c r="M91" s="20" t="str">
        <x:v>0</x:v>
      </x:c>
      <x:c r="N91" s="20" t="str">
        <x:v>0</x:v>
      </x:c>
      <x:c r="O91" s="20" t="str">
        <x:v>0</x:v>
      </x:c>
      <x:c r="P91" s="20" t="str">
        <x:v>0</x:v>
      </x:c>
      <x:c r="Q91" s="20" t="str">
        <x:v>0</x:v>
      </x:c>
      <x:c r="R91" s="20" t="str">
        <x:v>0</x:v>
      </x:c>
      <x:c r="S91" s="20" t="str">
        <x:v>0</x:v>
      </x:c>
      <x:c r="T91" s="20" t="str">
        <x:v>0</x:v>
      </x:c>
      <x:c r="U91" s="20" t="str">
        <x:v>0</x:v>
      </x:c>
      <x:c r="V91" s="20" t="str">
        <x:v>0</x:v>
      </x:c>
      <x:c r="W91" s="20" t="str">
        <x:v>0</x:v>
      </x:c>
      <x:c r="X91" s="20" t="str">
        <x:v>0</x:v>
      </x:c>
      <x:c r="Y91" s="20" t="str">
        <x:v>0</x:v>
      </x:c>
      <x:c r="Z91" s="20" t="str">
        <x:v>1</x:v>
      </x:c>
      <x:c r="AA91" s="20" t="str">
        <x:v>0</x:v>
      </x:c>
      <x:c r="AB91" s="20" t="str">
        <x:v>0</x:v>
      </x:c>
      <x:c r="AC91" s="20" t="str">
        <x:v>0</x:v>
      </x:c>
      <x:c r="AD91" s="20" t="str">
        <x:v>0</x:v>
      </x:c>
      <x:c r="AE91" s="20" t="str">
        <x:v>0</x:v>
      </x:c>
    </x:row>
    <x:row r="92">
      <x:c r="A92" s="20" t="str">
        <x:v>guu2020_realm_retrieval_augmented</x:v>
      </x:c>
      <x:c r="B92" s="20" t="str">
        <x:v>2020</x:v>
      </x:c>
      <x:c r="C92" s="20" t="str">
        <x:v>REALM: Retrieval-Augmented Language Model Pre-Training</x:v>
      </x:c>
      <x:c r="D92" s="20" t="str">
        <x:v>06_RAG_KG_Medical</x:v>
      </x:c>
      <x:c r="E92" s="20" t="str">
        <x:v>0</x:v>
      </x:c>
      <x:c r="F92" s="20" t="str">
        <x:v>0</x:v>
      </x:c>
      <x:c r="G92" s="20" t="str">
        <x:v>0</x:v>
      </x:c>
      <x:c r="H92" s="20" t="str">
        <x:v>0</x:v>
      </x:c>
      <x:c r="I92" s="20" t="str">
        <x:v>0</x:v>
      </x:c>
      <x:c r="J92" s="20" t="str">
        <x:v>0</x:v>
      </x:c>
      <x:c r="K92" s="20" t="str">
        <x:v>0</x:v>
      </x:c>
      <x:c r="L92" s="20" t="str">
        <x:v>0</x:v>
      </x:c>
      <x:c r="M92" s="20" t="str">
        <x:v>0</x:v>
      </x:c>
      <x:c r="N92" s="20" t="str">
        <x:v>0</x:v>
      </x:c>
      <x:c r="O92" s="20" t="str">
        <x:v>0</x:v>
      </x:c>
      <x:c r="P92" s="20" t="str">
        <x:v>0</x:v>
      </x:c>
      <x:c r="Q92" s="20" t="str">
        <x:v>0</x:v>
      </x:c>
      <x:c r="R92" s="20" t="str">
        <x:v>0</x:v>
      </x:c>
      <x:c r="S92" s="20" t="str">
        <x:v>0</x:v>
      </x:c>
      <x:c r="T92" s="20" t="str">
        <x:v>0</x:v>
      </x:c>
      <x:c r="U92" s="20" t="str">
        <x:v>0</x:v>
      </x:c>
      <x:c r="V92" s="20" t="str">
        <x:v>0</x:v>
      </x:c>
      <x:c r="W92" s="20" t="str">
        <x:v>0</x:v>
      </x:c>
      <x:c r="X92" s="20" t="str">
        <x:v>0</x:v>
      </x:c>
      <x:c r="Y92" s="20" t="str">
        <x:v>0</x:v>
      </x:c>
      <x:c r="Z92" s="20" t="str">
        <x:v>1</x:v>
      </x:c>
      <x:c r="AA92" s="20" t="str">
        <x:v>0</x:v>
      </x:c>
      <x:c r="AB92" s="20" t="str">
        <x:v>0</x:v>
      </x:c>
      <x:c r="AC92" s="20" t="str">
        <x:v>0</x:v>
      </x:c>
      <x:c r="AD92" s="20" t="str">
        <x:v>0</x:v>
      </x:c>
      <x:c r="AE92" s="20" t="str">
        <x:v>0</x:v>
      </x:c>
    </x:row>
    <x:row r="93">
      <x:c r="A93" s="20" t="str">
        <x:v>karpukhin2020_dense_passage_retrieval</x:v>
      </x:c>
      <x:c r="B93" s="20" t="str">
        <x:v>2020</x:v>
      </x:c>
      <x:c r="C93" s="20" t="str">
        <x:v>Dense Passage Retrieval for Open-Domain Question Answering</x:v>
      </x:c>
      <x:c r="D93" s="20" t="str">
        <x:v>06_RAG_KG_Medical</x:v>
      </x:c>
      <x:c r="E93" s="20" t="str">
        <x:v>0</x:v>
      </x:c>
      <x:c r="F93" s="20" t="str">
        <x:v>0</x:v>
      </x:c>
      <x:c r="G93" s="20" t="str">
        <x:v>0</x:v>
      </x:c>
      <x:c r="H93" s="20" t="str">
        <x:v>0</x:v>
      </x:c>
      <x:c r="I93" s="20" t="str">
        <x:v>0</x:v>
      </x:c>
      <x:c r="J93" s="20" t="str">
        <x:v>0</x:v>
      </x:c>
      <x:c r="K93" s="20" t="str">
        <x:v>0</x:v>
      </x:c>
      <x:c r="L93" s="20" t="str">
        <x:v>0</x:v>
      </x:c>
      <x:c r="M93" s="20" t="str">
        <x:v>0</x:v>
      </x:c>
      <x:c r="N93" s="20" t="str">
        <x:v>0</x:v>
      </x:c>
      <x:c r="O93" s="20" t="str">
        <x:v>0</x:v>
      </x:c>
      <x:c r="P93" s="20" t="str">
        <x:v>0</x:v>
      </x:c>
      <x:c r="Q93" s="20" t="str">
        <x:v>0</x:v>
      </x:c>
      <x:c r="R93" s="20" t="str">
        <x:v>0</x:v>
      </x:c>
      <x:c r="S93" s="20" t="str">
        <x:v>0</x:v>
      </x:c>
      <x:c r="T93" s="20" t="str">
        <x:v>0</x:v>
      </x:c>
      <x:c r="U93" s="20" t="str">
        <x:v>0</x:v>
      </x:c>
      <x:c r="V93" s="20" t="str">
        <x:v>0</x:v>
      </x:c>
      <x:c r="W93" s="20" t="str">
        <x:v>0</x:v>
      </x:c>
      <x:c r="X93" s="20" t="str">
        <x:v>0</x:v>
      </x:c>
      <x:c r="Y93" s="20" t="str">
        <x:v>0</x:v>
      </x:c>
      <x:c r="Z93" s="20" t="str">
        <x:v>1</x:v>
      </x:c>
      <x:c r="AA93" s="20" t="str">
        <x:v>0</x:v>
      </x:c>
      <x:c r="AB93" s="20" t="str">
        <x:v>0</x:v>
      </x:c>
      <x:c r="AC93" s="20" t="str">
        <x:v>0</x:v>
      </x:c>
      <x:c r="AD93" s="20" t="str">
        <x:v>0</x:v>
      </x:c>
      <x:c r="AE93" s="20" t="str">
        <x:v>0</x:v>
      </x:c>
    </x:row>
    <x:row r="94">
      <x:c r="A94" s="20" t="str">
        <x:v>izacard2021_leveraging_passage_retrieval</x:v>
      </x:c>
      <x:c r="B94" s="20" t="str">
        <x:v>2021</x:v>
      </x:c>
      <x:c r="C94" s="20" t="str">
        <x:v>Leveraging Passage Retrieval with Generative Models for Open Domain Question Answering</x:v>
      </x:c>
      <x:c r="D94" s="20" t="str">
        <x:v>06_RAG_KG_Medical</x:v>
      </x:c>
      <x:c r="E94" s="20" t="str">
        <x:v>0</x:v>
      </x:c>
      <x:c r="F94" s="20" t="str">
        <x:v>0</x:v>
      </x:c>
      <x:c r="G94" s="20" t="str">
        <x:v>0</x:v>
      </x:c>
      <x:c r="H94" s="20" t="str">
        <x:v>0</x:v>
      </x:c>
      <x:c r="I94" s="20" t="str">
        <x:v>0</x:v>
      </x:c>
      <x:c r="J94" s="20" t="str">
        <x:v>0</x:v>
      </x:c>
      <x:c r="K94" s="20" t="str">
        <x:v>0</x:v>
      </x:c>
      <x:c r="L94" s="20" t="str">
        <x:v>0</x:v>
      </x:c>
      <x:c r="M94" s="20" t="str">
        <x:v>0</x:v>
      </x:c>
      <x:c r="N94" s="20" t="str">
        <x:v>0</x:v>
      </x:c>
      <x:c r="O94" s="20" t="str">
        <x:v>0</x:v>
      </x:c>
      <x:c r="P94" s="20" t="str">
        <x:v>0</x:v>
      </x:c>
      <x:c r="Q94" s="20" t="str">
        <x:v>0</x:v>
      </x:c>
      <x:c r="R94" s="20" t="str">
        <x:v>0</x:v>
      </x:c>
      <x:c r="S94" s="20" t="str">
        <x:v>0</x:v>
      </x:c>
      <x:c r="T94" s="20" t="str">
        <x:v>0</x:v>
      </x:c>
      <x:c r="U94" s="20" t="str">
        <x:v>0</x:v>
      </x:c>
      <x:c r="V94" s="20" t="str">
        <x:v>0</x:v>
      </x:c>
      <x:c r="W94" s="20" t="str">
        <x:v>0</x:v>
      </x:c>
      <x:c r="X94" s="20" t="str">
        <x:v>0</x:v>
      </x:c>
      <x:c r="Y94" s="20" t="str">
        <x:v>0</x:v>
      </x:c>
      <x:c r="Z94" s="20" t="str">
        <x:v>1</x:v>
      </x:c>
      <x:c r="AA94" s="20" t="str">
        <x:v>0</x:v>
      </x:c>
      <x:c r="AB94" s="20" t="str">
        <x:v>0</x:v>
      </x:c>
      <x:c r="AC94" s="20" t="str">
        <x:v>0</x:v>
      </x:c>
      <x:c r="AD94" s="20" t="str">
        <x:v>0</x:v>
      </x:c>
      <x:c r="AE94" s="20" t="str">
        <x:v>0</x:v>
      </x:c>
    </x:row>
    <x:row r="95">
      <x:c r="A95" s="20" t="str">
        <x:v>asai2024_self_rag_learning</x:v>
      </x:c>
      <x:c r="B95" s="20" t="str">
        <x:v>2024</x:v>
      </x:c>
      <x:c r="C95" s="20" t="str">
        <x:v>Self-RAG: Learning to Retrieve, Generate, and Critique through Self-Reflection</x:v>
      </x:c>
      <x:c r="D95" s="20" t="str">
        <x:v>06_RAG_KG_Medical</x:v>
      </x:c>
      <x:c r="E95" s="20" t="str">
        <x:v>0</x:v>
      </x:c>
      <x:c r="F95" s="20" t="str">
        <x:v>0</x:v>
      </x:c>
      <x:c r="G95" s="20" t="str">
        <x:v>0</x:v>
      </x:c>
      <x:c r="H95" s="20" t="str">
        <x:v>0</x:v>
      </x:c>
      <x:c r="I95" s="20" t="str">
        <x:v>0</x:v>
      </x:c>
      <x:c r="J95" s="20" t="str">
        <x:v>0</x:v>
      </x:c>
      <x:c r="K95" s="20" t="str">
        <x:v>0</x:v>
      </x:c>
      <x:c r="L95" s="20" t="str">
        <x:v>0</x:v>
      </x:c>
      <x:c r="M95" s="20" t="str">
        <x:v>0</x:v>
      </x:c>
      <x:c r="N95" s="20" t="str">
        <x:v>0</x:v>
      </x:c>
      <x:c r="O95" s="20" t="str">
        <x:v>0</x:v>
      </x:c>
      <x:c r="P95" s="20" t="str">
        <x:v>0</x:v>
      </x:c>
      <x:c r="Q95" s="20" t="str">
        <x:v>0</x:v>
      </x:c>
      <x:c r="R95" s="20" t="str">
        <x:v>0</x:v>
      </x:c>
      <x:c r="S95" s="20" t="str">
        <x:v>0</x:v>
      </x:c>
      <x:c r="T95" s="20" t="str">
        <x:v>0</x:v>
      </x:c>
      <x:c r="U95" s="20" t="str">
        <x:v>0</x:v>
      </x:c>
      <x:c r="V95" s="20" t="str">
        <x:v>0</x:v>
      </x:c>
      <x:c r="W95" s="20" t="str">
        <x:v>0</x:v>
      </x:c>
      <x:c r="X95" s="20" t="str">
        <x:v>0</x:v>
      </x:c>
      <x:c r="Y95" s="20" t="str">
        <x:v>0</x:v>
      </x:c>
      <x:c r="Z95" s="20" t="str">
        <x:v>1</x:v>
      </x:c>
      <x:c r="AA95" s="20" t="str">
        <x:v>0</x:v>
      </x:c>
      <x:c r="AB95" s="20" t="str">
        <x:v>0</x:v>
      </x:c>
      <x:c r="AC95" s="20" t="str">
        <x:v>0</x:v>
      </x:c>
      <x:c r="AD95" s="20" t="str">
        <x:v>0</x:v>
      </x:c>
      <x:c r="AE95" s="20" t="str">
        <x:v>0</x:v>
      </x:c>
    </x:row>
    <x:row r="96">
      <x:c r="A96" s="20" t="str">
        <x:v>gao2024_retrieval_augmented_generation</x:v>
      </x:c>
      <x:c r="B96" s="20" t="str">
        <x:v>2024</x:v>
      </x:c>
      <x:c r="C96" s="20" t="str">
        <x:v>Retrieval-Augmented Generation for Large Language Models: A Survey</x:v>
      </x:c>
      <x:c r="D96" s="20" t="str">
        <x:v>06_RAG_KG_Medical</x:v>
      </x:c>
      <x:c r="E96" s="20" t="str">
        <x:v>0</x:v>
      </x:c>
      <x:c r="F96" s="20" t="str">
        <x:v>0</x:v>
      </x:c>
      <x:c r="G96" s="20" t="str">
        <x:v>0</x:v>
      </x:c>
      <x:c r="H96" s="20" t="str">
        <x:v>0</x:v>
      </x:c>
      <x:c r="I96" s="20" t="str">
        <x:v>0</x:v>
      </x:c>
      <x:c r="J96" s="20" t="str">
        <x:v>0</x:v>
      </x:c>
      <x:c r="K96" s="20" t="str">
        <x:v>0</x:v>
      </x:c>
      <x:c r="L96" s="20" t="str">
        <x:v>0</x:v>
      </x:c>
      <x:c r="M96" s="20" t="str">
        <x:v>0</x:v>
      </x:c>
      <x:c r="N96" s="20" t="str">
        <x:v>0</x:v>
      </x:c>
      <x:c r="O96" s="20" t="str">
        <x:v>0</x:v>
      </x:c>
      <x:c r="P96" s="20" t="str">
        <x:v>0</x:v>
      </x:c>
      <x:c r="Q96" s="20" t="str">
        <x:v>0</x:v>
      </x:c>
      <x:c r="R96" s="20" t="str">
        <x:v>0</x:v>
      </x:c>
      <x:c r="S96" s="20" t="str">
        <x:v>0</x:v>
      </x:c>
      <x:c r="T96" s="20" t="str">
        <x:v>0</x:v>
      </x:c>
      <x:c r="U96" s="20" t="str">
        <x:v>0</x:v>
      </x:c>
      <x:c r="V96" s="20" t="str">
        <x:v>0</x:v>
      </x:c>
      <x:c r="W96" s="20" t="str">
        <x:v>0</x:v>
      </x:c>
      <x:c r="X96" s="20" t="str">
        <x:v>0</x:v>
      </x:c>
      <x:c r="Y96" s="20" t="str">
        <x:v>0</x:v>
      </x:c>
      <x:c r="Z96" s="20" t="str">
        <x:v>0</x:v>
      </x:c>
      <x:c r="AA96" s="20" t="str">
        <x:v>0</x:v>
      </x:c>
      <x:c r="AB96" s="20" t="str">
        <x:v>0</x:v>
      </x:c>
      <x:c r="AC96" s="20" t="str">
        <x:v>0</x:v>
      </x:c>
      <x:c r="AD96" s="20" t="str">
        <x:v>0</x:v>
      </x:c>
      <x:c r="AE96" s="20" t="str">
        <x:v>1</x:v>
      </x:c>
    </x:row>
    <x:row r="97">
      <x:c r="A97" s="20" t="str">
        <x:v>edge2024_local_global_graph</x:v>
      </x:c>
      <x:c r="B97" s="20" t="str">
        <x:v>2024</x:v>
      </x:c>
      <x:c r="C97" s="20" t="str">
        <x:v>From Local to Global: A Graph RAG Approach to Query-Focused Summarization</x:v>
      </x:c>
      <x:c r="D97" s="20" t="str">
        <x:v>06_RAG_KG_Medical</x:v>
      </x:c>
      <x:c r="E97" s="20" t="str">
        <x:v>0</x:v>
      </x:c>
      <x:c r="F97" s="20" t="str">
        <x:v>0</x:v>
      </x:c>
      <x:c r="G97" s="20" t="str">
        <x:v>0</x:v>
      </x:c>
      <x:c r="H97" s="20" t="str">
        <x:v>0</x:v>
      </x:c>
      <x:c r="I97" s="20" t="str">
        <x:v>0</x:v>
      </x:c>
      <x:c r="J97" s="20" t="str">
        <x:v>0</x:v>
      </x:c>
      <x:c r="K97" s="20" t="str">
        <x:v>0</x:v>
      </x:c>
      <x:c r="L97" s="20" t="str">
        <x:v>0</x:v>
      </x:c>
      <x:c r="M97" s="20" t="str">
        <x:v>0</x:v>
      </x:c>
      <x:c r="N97" s="20" t="str">
        <x:v>0</x:v>
      </x:c>
      <x:c r="O97" s="20" t="str">
        <x:v>0</x:v>
      </x:c>
      <x:c r="P97" s="20" t="str">
        <x:v>1</x:v>
      </x:c>
      <x:c r="Q97" s="20" t="str">
        <x:v>0</x:v>
      </x:c>
      <x:c r="R97" s="20" t="str">
        <x:v>0</x:v>
      </x:c>
      <x:c r="S97" s="20" t="str">
        <x:v>0</x:v>
      </x:c>
      <x:c r="T97" s="20" t="str">
        <x:v>0</x:v>
      </x:c>
      <x:c r="U97" s="20" t="str">
        <x:v>0</x:v>
      </x:c>
      <x:c r="V97" s="20" t="str">
        <x:v>0</x:v>
      </x:c>
      <x:c r="W97" s="20" t="str">
        <x:v>0</x:v>
      </x:c>
      <x:c r="X97" s="20" t="str">
        <x:v>0</x:v>
      </x:c>
      <x:c r="Y97" s="20" t="str">
        <x:v>0</x:v>
      </x:c>
      <x:c r="Z97" s="20" t="str">
        <x:v>0</x:v>
      </x:c>
      <x:c r="AA97" s="20" t="str">
        <x:v>0</x:v>
      </x:c>
      <x:c r="AB97" s="20" t="str">
        <x:v>0</x:v>
      </x:c>
      <x:c r="AC97" s="20" t="str">
        <x:v>0</x:v>
      </x:c>
      <x:c r="AD97" s="20" t="str">
        <x:v>0</x:v>
      </x:c>
      <x:c r="AE97" s="20" t="str">
        <x:v>0</x:v>
      </x:c>
    </x:row>
    <x:row r="98">
      <x:c r="A98" s="20" t="str">
        <x:v>xiong2024_benchmarking_retrieval_augmented</x:v>
      </x:c>
      <x:c r="B98" s="20" t="str">
        <x:v>2024</x:v>
      </x:c>
      <x:c r="C98" s="20" t="str">
        <x:v>Benchmarking Retrieval-Augmented Generation for Medicine</x:v>
      </x:c>
      <x:c r="D98" s="20" t="str">
        <x:v>06_RAG_KG_Medical</x:v>
      </x:c>
      <x:c r="E98" s="20" t="str">
        <x:v>0</x:v>
      </x:c>
      <x:c r="F98" s="20" t="str">
        <x:v>0</x:v>
      </x:c>
      <x:c r="G98" s="20" t="str">
        <x:v>0</x:v>
      </x:c>
      <x:c r="H98" s="20" t="str">
        <x:v>0</x:v>
      </x:c>
      <x:c r="I98" s="20" t="str">
        <x:v>0</x:v>
      </x:c>
      <x:c r="J98" s="20" t="str">
        <x:v>0</x:v>
      </x:c>
      <x:c r="K98" s="20" t="str">
        <x:v>0</x:v>
      </x:c>
      <x:c r="L98" s="20" t="str">
        <x:v>0</x:v>
      </x:c>
      <x:c r="M98" s="20" t="str">
        <x:v>0</x:v>
      </x:c>
      <x:c r="N98" s="20" t="str">
        <x:v>0</x:v>
      </x:c>
      <x:c r="O98" s="20" t="str">
        <x:v>0</x:v>
      </x:c>
      <x:c r="P98" s="20" t="str">
        <x:v>0</x:v>
      </x:c>
      <x:c r="Q98" s="20" t="str">
        <x:v>0</x:v>
      </x:c>
      <x:c r="R98" s="20" t="str">
        <x:v>0</x:v>
      </x:c>
      <x:c r="S98" s="20" t="str">
        <x:v>0</x:v>
      </x:c>
      <x:c r="T98" s="20" t="str">
        <x:v>0</x:v>
      </x:c>
      <x:c r="U98" s="20" t="str">
        <x:v>0</x:v>
      </x:c>
      <x:c r="V98" s="20" t="str">
        <x:v>0</x:v>
      </x:c>
      <x:c r="W98" s="20" t="str">
        <x:v>0</x:v>
      </x:c>
      <x:c r="X98" s="20" t="str">
        <x:v>0</x:v>
      </x:c>
      <x:c r="Y98" s="20" t="str">
        <x:v>0</x:v>
      </x:c>
      <x:c r="Z98" s="20" t="str">
        <x:v>1</x:v>
      </x:c>
      <x:c r="AA98" s="20" t="str">
        <x:v>0</x:v>
      </x:c>
      <x:c r="AB98" s="20" t="str">
        <x:v>0</x:v>
      </x:c>
      <x:c r="AC98" s="20" t="str">
        <x:v>0</x:v>
      </x:c>
      <x:c r="AD98" s="20" t="str">
        <x:v>0</x:v>
      </x:c>
      <x:c r="AE98" s="20" t="str">
        <x:v>0</x:v>
      </x:c>
    </x:row>
    <x:row r="99">
      <x:c r="A99" s="20" t="str">
        <x:v>singhal2023_language_encode_clinical</x:v>
      </x:c>
      <x:c r="B99" s="20" t="str">
        <x:v>2023</x:v>
      </x:c>
      <x:c r="C99" s="20" t="str">
        <x:v>Large Language Models Encode Clinical Knowledge</x:v>
      </x:c>
      <x:c r="D99" s="20" t="str">
        <x:v>06_RAG_KG_Medical</x:v>
      </x:c>
      <x:c r="E99" s="20" t="str">
        <x:v>0</x:v>
      </x:c>
      <x:c r="F99" s="20" t="str">
        <x:v>0</x:v>
      </x:c>
      <x:c r="G99" s="20" t="str">
        <x:v>0</x:v>
      </x:c>
      <x:c r="H99" s="20" t="str">
        <x:v>0</x:v>
      </x:c>
      <x:c r="I99" s="20" t="str">
        <x:v>0</x:v>
      </x:c>
      <x:c r="J99" s="20" t="str">
        <x:v>0</x:v>
      </x:c>
      <x:c r="K99" s="20" t="str">
        <x:v>0</x:v>
      </x:c>
      <x:c r="L99" s="20" t="str">
        <x:v>0</x:v>
      </x:c>
      <x:c r="M99" s="20" t="str">
        <x:v>0</x:v>
      </x:c>
      <x:c r="N99" s="20" t="str">
        <x:v>0</x:v>
      </x:c>
      <x:c r="O99" s="20" t="str">
        <x:v>0</x:v>
      </x:c>
      <x:c r="P99" s="20" t="str">
        <x:v>0</x:v>
      </x:c>
      <x:c r="Q99" s="20" t="str">
        <x:v>1</x:v>
      </x:c>
      <x:c r="R99" s="20" t="str">
        <x:v>0</x:v>
      </x:c>
      <x:c r="S99" s="20" t="str">
        <x:v>0</x:v>
      </x:c>
      <x:c r="T99" s="20" t="str">
        <x:v>0</x:v>
      </x:c>
      <x:c r="U99" s="20" t="str">
        <x:v>0</x:v>
      </x:c>
      <x:c r="V99" s="20" t="str">
        <x:v>0</x:v>
      </x:c>
      <x:c r="W99" s="20" t="str">
        <x:v>0</x:v>
      </x:c>
      <x:c r="X99" s="20" t="str">
        <x:v>0</x:v>
      </x:c>
      <x:c r="Y99" s="20" t="str">
        <x:v>0</x:v>
      </x:c>
      <x:c r="Z99" s="20" t="str">
        <x:v>0</x:v>
      </x:c>
      <x:c r="AA99" s="20" t="str">
        <x:v>0</x:v>
      </x:c>
      <x:c r="AB99" s="20" t="str">
        <x:v>0</x:v>
      </x:c>
      <x:c r="AC99" s="20" t="str">
        <x:v>0</x:v>
      </x:c>
      <x:c r="AD99" s="20" t="str">
        <x:v>0</x:v>
      </x:c>
      <x:c r="AE99" s="20" t="str">
        <x:v>0</x:v>
      </x:c>
    </x:row>
    <x:row r="100">
      <x:c r="A100" s="20" t="str">
        <x:v>singhal2025_expert_level_medical</x:v>
      </x:c>
      <x:c r="B100" s="20" t="str">
        <x:v>2025</x:v>
      </x:c>
      <x:c r="C100" s="20" t="str">
        <x:v>Toward Expert-Level Medical Question Answering with Large Language Models</x:v>
      </x:c>
      <x:c r="D100" s="20" t="str">
        <x:v>06_RAG_KG_Medical</x:v>
      </x:c>
      <x:c r="E100" s="20" t="str">
        <x:v>0</x:v>
      </x:c>
      <x:c r="F100" s="20" t="str">
        <x:v>0</x:v>
      </x:c>
      <x:c r="G100" s="20" t="str">
        <x:v>0</x:v>
      </x:c>
      <x:c r="H100" s="20" t="str">
        <x:v>0</x:v>
      </x:c>
      <x:c r="I100" s="20" t="str">
        <x:v>0</x:v>
      </x:c>
      <x:c r="J100" s="20" t="str">
        <x:v>0</x:v>
      </x:c>
      <x:c r="K100" s="20" t="str">
        <x:v>0</x:v>
      </x:c>
      <x:c r="L100" s="20" t="str">
        <x:v>0</x:v>
      </x:c>
      <x:c r="M100" s="20" t="str">
        <x:v>0</x:v>
      </x:c>
      <x:c r="N100" s="20" t="str">
        <x:v>0</x:v>
      </x:c>
      <x:c r="O100" s="20" t="str">
        <x:v>0</x:v>
      </x:c>
      <x:c r="P100" s="20" t="str">
        <x:v>0</x:v>
      </x:c>
      <x:c r="Q100" s="20" t="str">
        <x:v>1</x:v>
      </x:c>
      <x:c r="R100" s="20" t="str">
        <x:v>0</x:v>
      </x:c>
      <x:c r="S100" s="20" t="str">
        <x:v>0</x:v>
      </x:c>
      <x:c r="T100" s="20" t="str">
        <x:v>0</x:v>
      </x:c>
      <x:c r="U100" s="20" t="str">
        <x:v>0</x:v>
      </x:c>
      <x:c r="V100" s="20" t="str">
        <x:v>0</x:v>
      </x:c>
      <x:c r="W100" s="20" t="str">
        <x:v>0</x:v>
      </x:c>
      <x:c r="X100" s="20" t="str">
        <x:v>0</x:v>
      </x:c>
      <x:c r="Y100" s="20" t="str">
        <x:v>0</x:v>
      </x:c>
      <x:c r="Z100" s="20" t="str">
        <x:v>0</x:v>
      </x:c>
      <x:c r="AA100" s="20" t="str">
        <x:v>0</x:v>
      </x:c>
      <x:c r="AB100" s="20" t="str">
        <x:v>0</x:v>
      </x:c>
      <x:c r="AC100" s="20" t="str">
        <x:v>0</x:v>
      </x:c>
      <x:c r="AD100" s="20" t="str">
        <x:v>0</x:v>
      </x:c>
      <x:c r="AE100" s="20" t="str">
        <x:v>0</x:v>
      </x:c>
    </x:row>
    <x:row r="101">
      <x:c r="A101" s="20" t="str">
        <x:v>jin2019_pubmedqa_biomedical_research</x:v>
      </x:c>
      <x:c r="B101" s="20" t="str">
        <x:v>2019</x:v>
      </x:c>
      <x:c r="C101" s="20" t="str">
        <x:v>PubMedQA: A Dataset for Biomedical Research Question Answering</x:v>
      </x:c>
      <x:c r="D101" s="20" t="str">
        <x:v>06_RAG_KG_Medical</x:v>
      </x:c>
      <x:c r="E101" s="20" t="str">
        <x:v>0</x:v>
      </x:c>
      <x:c r="F101" s="20" t="str">
        <x:v>0</x:v>
      </x:c>
      <x:c r="G101" s="20" t="str">
        <x:v>0</x:v>
      </x:c>
      <x:c r="H101" s="20" t="str">
        <x:v>0</x:v>
      </x:c>
      <x:c r="I101" s="20" t="str">
        <x:v>0</x:v>
      </x:c>
      <x:c r="J101" s="20" t="str">
        <x:v>0</x:v>
      </x:c>
      <x:c r="K101" s="20" t="str">
        <x:v>0</x:v>
      </x:c>
      <x:c r="L101" s="20" t="str">
        <x:v>0</x:v>
      </x:c>
      <x:c r="M101" s="20" t="str">
        <x:v>0</x:v>
      </x:c>
      <x:c r="N101" s="20" t="str">
        <x:v>0</x:v>
      </x:c>
      <x:c r="O101" s="20" t="str">
        <x:v>0</x:v>
      </x:c>
      <x:c r="P101" s="20" t="str">
        <x:v>0</x:v>
      </x:c>
      <x:c r="Q101" s="20" t="str">
        <x:v>0</x:v>
      </x:c>
      <x:c r="R101" s="20" t="str">
        <x:v>0</x:v>
      </x:c>
      <x:c r="S101" s="20" t="str">
        <x:v>0</x:v>
      </x:c>
      <x:c r="T101" s="20" t="str">
        <x:v>0</x:v>
      </x:c>
      <x:c r="U101" s="20" t="str">
        <x:v>0</x:v>
      </x:c>
      <x:c r="V101" s="20" t="str">
        <x:v>0</x:v>
      </x:c>
      <x:c r="W101" s="20" t="str">
        <x:v>0</x:v>
      </x:c>
      <x:c r="X101" s="20" t="str">
        <x:v>0</x:v>
      </x:c>
      <x:c r="Y101" s="20" t="str">
        <x:v>0</x:v>
      </x:c>
      <x:c r="Z101" s="20" t="str">
        <x:v>1</x:v>
      </x:c>
      <x:c r="AA101" s="20" t="str">
        <x:v>0</x:v>
      </x:c>
      <x:c r="AB101" s="20" t="str">
        <x:v>0</x:v>
      </x:c>
      <x:c r="AC101" s="20" t="str">
        <x:v>0</x:v>
      </x:c>
      <x:c r="AD101" s="20" t="str">
        <x:v>0</x:v>
      </x:c>
      <x:c r="AE101" s="20" t="str">
        <x:v>0</x:v>
      </x:c>
    </x:row>
    <x:row r="102">
      <x:c r="A102" s="20" t="str">
        <x:v>luo2022_biogpt_generative_pre</x:v>
      </x:c>
      <x:c r="B102" s="20" t="str">
        <x:v>2022</x:v>
      </x:c>
      <x:c r="C102" s="20" t="str">
        <x:v>BioGPT: Generative Pre-trained Transformer for Biomedical Text Generation and Mining</x:v>
      </x:c>
      <x:c r="D102" s="20" t="str">
        <x:v>06_RAG_KG_Medical</x:v>
      </x:c>
      <x:c r="E102" s="20" t="str">
        <x:v>0</x:v>
      </x:c>
      <x:c r="F102" s="20" t="str">
        <x:v>0</x:v>
      </x:c>
      <x:c r="G102" s="20" t="str">
        <x:v>0</x:v>
      </x:c>
      <x:c r="H102" s="20" t="str">
        <x:v>0</x:v>
      </x:c>
      <x:c r="I102" s="20" t="str">
        <x:v>0</x:v>
      </x:c>
      <x:c r="J102" s="20" t="str">
        <x:v>0</x:v>
      </x:c>
      <x:c r="K102" s="20" t="str">
        <x:v>0</x:v>
      </x:c>
      <x:c r="L102" s="20" t="str">
        <x:v>0</x:v>
      </x:c>
      <x:c r="M102" s="20" t="str">
        <x:v>0</x:v>
      </x:c>
      <x:c r="N102" s="20" t="str">
        <x:v>0</x:v>
      </x:c>
      <x:c r="O102" s="20" t="str">
        <x:v>0</x:v>
      </x:c>
      <x:c r="P102" s="20" t="str">
        <x:v>0</x:v>
      </x:c>
      <x:c r="Q102" s="20" t="str">
        <x:v>0</x:v>
      </x:c>
      <x:c r="R102" s="20" t="str">
        <x:v>0</x:v>
      </x:c>
      <x:c r="S102" s="20" t="str">
        <x:v>0</x:v>
      </x:c>
      <x:c r="T102" s="20" t="str">
        <x:v>0</x:v>
      </x:c>
      <x:c r="U102" s="20" t="str">
        <x:v>0</x:v>
      </x:c>
      <x:c r="V102" s="20" t="str">
        <x:v>0</x:v>
      </x:c>
      <x:c r="W102" s="20" t="str">
        <x:v>1</x:v>
      </x:c>
      <x:c r="X102" s="20" t="str">
        <x:v>0</x:v>
      </x:c>
      <x:c r="Y102" s="20" t="str">
        <x:v>0</x:v>
      </x:c>
      <x:c r="Z102" s="20" t="str">
        <x:v>0</x:v>
      </x:c>
      <x:c r="AA102" s="20" t="str">
        <x:v>0</x:v>
      </x:c>
      <x:c r="AB102" s="20" t="str">
        <x:v>0</x:v>
      </x:c>
      <x:c r="AC102" s="20" t="str">
        <x:v>0</x:v>
      </x:c>
      <x:c r="AD102" s="20" t="str">
        <x:v>0</x:v>
      </x:c>
      <x:c r="AE102" s="20" t="str">
        <x:v>0</x:v>
      </x:c>
    </x:row>
    <x:row r="103">
      <x:c r="A103" s="20" t="str">
        <x:v>lee2020_biobert_pre_trained</x:v>
      </x:c>
      <x:c r="B103" s="20" t="str">
        <x:v>2020</x:v>
      </x:c>
      <x:c r="C103" s="20" t="str">
        <x:v>BioBERT: A Pre-trained Biomedical Language Representation Model for Biomedical Text Mining</x:v>
      </x:c>
      <x:c r="D103" s="20" t="str">
        <x:v>06_RAG_KG_Medical</x:v>
      </x:c>
      <x:c r="E103" s="20" t="str">
        <x:v>0</x:v>
      </x:c>
      <x:c r="F103" s="20" t="str">
        <x:v>0</x:v>
      </x:c>
      <x:c r="G103" s="20" t="str">
        <x:v>0</x:v>
      </x:c>
      <x:c r="H103" s="20" t="str">
        <x:v>0</x:v>
      </x:c>
      <x:c r="I103" s="20" t="str">
        <x:v>0</x:v>
      </x:c>
      <x:c r="J103" s="20" t="str">
        <x:v>0</x:v>
      </x:c>
      <x:c r="K103" s="20" t="str">
        <x:v>0</x:v>
      </x:c>
      <x:c r="L103" s="20" t="str">
        <x:v>0</x:v>
      </x:c>
      <x:c r="M103" s="20" t="str">
        <x:v>0</x:v>
      </x:c>
      <x:c r="N103" s="20" t="str">
        <x:v>0</x:v>
      </x:c>
      <x:c r="O103" s="20" t="str">
        <x:v>0</x:v>
      </x:c>
      <x:c r="P103" s="20" t="str">
        <x:v>0</x:v>
      </x:c>
      <x:c r="Q103" s="20" t="str">
        <x:v>0</x:v>
      </x:c>
      <x:c r="R103" s="20" t="str">
        <x:v>0</x:v>
      </x:c>
      <x:c r="S103" s="20" t="str">
        <x:v>0</x:v>
      </x:c>
      <x:c r="T103" s="20" t="str">
        <x:v>0</x:v>
      </x:c>
      <x:c r="U103" s="20" t="str">
        <x:v>0</x:v>
      </x:c>
      <x:c r="V103" s="20" t="str">
        <x:v>0</x:v>
      </x:c>
      <x:c r="W103" s="20" t="str">
        <x:v>1</x:v>
      </x:c>
      <x:c r="X103" s="20" t="str">
        <x:v>0</x:v>
      </x:c>
      <x:c r="Y103" s="20" t="str">
        <x:v>0</x:v>
      </x:c>
      <x:c r="Z103" s="20" t="str">
        <x:v>0</x:v>
      </x:c>
      <x:c r="AA103" s="20" t="str">
        <x:v>0</x:v>
      </x:c>
      <x:c r="AB103" s="20" t="str">
        <x:v>0</x:v>
      </x:c>
      <x:c r="AC103" s="20" t="str">
        <x:v>0</x:v>
      </x:c>
      <x:c r="AD103" s="20" t="str">
        <x:v>0</x:v>
      </x:c>
      <x:c r="AE103" s="20" t="str">
        <x:v>0</x:v>
      </x:c>
    </x:row>
    <x:row r="104">
      <x:c r="A104" s="20" t="str">
        <x:v>alsentzer2019_publicly_available_clinical</x:v>
      </x:c>
      <x:c r="B104" s="20" t="str">
        <x:v>2019</x:v>
      </x:c>
      <x:c r="C104" s="20" t="str">
        <x:v>Publicly Available Clinical BERT Embeddings</x:v>
      </x:c>
      <x:c r="D104" s="20" t="str">
        <x:v>06_RAG_KG_Medical</x:v>
      </x:c>
      <x:c r="E104" s="20" t="str">
        <x:v>0</x:v>
      </x:c>
      <x:c r="F104" s="20" t="str">
        <x:v>0</x:v>
      </x:c>
      <x:c r="G104" s="20" t="str">
        <x:v>0</x:v>
      </x:c>
      <x:c r="H104" s="20" t="str">
        <x:v>0</x:v>
      </x:c>
      <x:c r="I104" s="20" t="str">
        <x:v>0</x:v>
      </x:c>
      <x:c r="J104" s="20" t="str">
        <x:v>0</x:v>
      </x:c>
      <x:c r="K104" s="20" t="str">
        <x:v>0</x:v>
      </x:c>
      <x:c r="L104" s="20" t="str">
        <x:v>0</x:v>
      </x:c>
      <x:c r="M104" s="20" t="str">
        <x:v>0</x:v>
      </x:c>
      <x:c r="N104" s="20" t="str">
        <x:v>0</x:v>
      </x:c>
      <x:c r="O104" s="20" t="str">
        <x:v>0</x:v>
      </x:c>
      <x:c r="P104" s="20" t="str">
        <x:v>0</x:v>
      </x:c>
      <x:c r="Q104" s="20" t="str">
        <x:v>0</x:v>
      </x:c>
      <x:c r="R104" s="20" t="str">
        <x:v>0</x:v>
      </x:c>
      <x:c r="S104" s="20" t="str">
        <x:v>0</x:v>
      </x:c>
      <x:c r="T104" s="20" t="str">
        <x:v>0</x:v>
      </x:c>
      <x:c r="U104" s="20" t="str">
        <x:v>0</x:v>
      </x:c>
      <x:c r="V104" s="20" t="str">
        <x:v>0</x:v>
      </x:c>
      <x:c r="W104" s="20" t="str">
        <x:v>1</x:v>
      </x:c>
      <x:c r="X104" s="20" t="str">
        <x:v>0</x:v>
      </x:c>
      <x:c r="Y104" s="20" t="str">
        <x:v>0</x:v>
      </x:c>
      <x:c r="Z104" s="20" t="str">
        <x:v>0</x:v>
      </x:c>
      <x:c r="AA104" s="20" t="str">
        <x:v>0</x:v>
      </x:c>
      <x:c r="AB104" s="20" t="str">
        <x:v>0</x:v>
      </x:c>
      <x:c r="AC104" s="20" t="str">
        <x:v>0</x:v>
      </x:c>
      <x:c r="AD104" s="20" t="str">
        <x:v>0</x:v>
      </x:c>
      <x:c r="AE104" s="20" t="str">
        <x:v>0</x:v>
      </x:c>
    </x:row>
    <x:row r="105">
      <x:c r="A105" s="20" t="str">
        <x:v>peng2019_transfer_learning_biomedical</x:v>
      </x:c>
      <x:c r="B105" s="20" t="str">
        <x:v>2019</x:v>
      </x:c>
      <x:c r="C105" s="20" t="str">
        <x:v>Transfer Learning in Biomedical Natural Language Processing: An Evaluation of BERT and ELMo on Ten Benchmarking Datasets</x:v>
      </x:c>
      <x:c r="D105" s="20" t="str">
        <x:v>06_RAG_KG_Medical</x:v>
      </x:c>
      <x:c r="E105" s="20" t="str">
        <x:v>0</x:v>
      </x:c>
      <x:c r="F105" s="20" t="str">
        <x:v>0</x:v>
      </x:c>
      <x:c r="G105" s="20" t="str">
        <x:v>0</x:v>
      </x:c>
      <x:c r="H105" s="20" t="str">
        <x:v>0</x:v>
      </x:c>
      <x:c r="I105" s="20" t="str">
        <x:v>0</x:v>
      </x:c>
      <x:c r="J105" s="20" t="str">
        <x:v>0</x:v>
      </x:c>
      <x:c r="K105" s="20" t="str">
        <x:v>0</x:v>
      </x:c>
      <x:c r="L105" s="20" t="str">
        <x:v>0</x:v>
      </x:c>
      <x:c r="M105" s="20" t="str">
        <x:v>0</x:v>
      </x:c>
      <x:c r="N105" s="20" t="str">
        <x:v>0</x:v>
      </x:c>
      <x:c r="O105" s="20" t="str">
        <x:v>0</x:v>
      </x:c>
      <x:c r="P105" s="20" t="str">
        <x:v>0</x:v>
      </x:c>
      <x:c r="Q105" s="20" t="str">
        <x:v>0</x:v>
      </x:c>
      <x:c r="R105" s="20" t="str">
        <x:v>0</x:v>
      </x:c>
      <x:c r="S105" s="20" t="str">
        <x:v>0</x:v>
      </x:c>
      <x:c r="T105" s="20" t="str">
        <x:v>0</x:v>
      </x:c>
      <x:c r="U105" s="20" t="str">
        <x:v>0</x:v>
      </x:c>
      <x:c r="V105" s="20" t="str">
        <x:v>0</x:v>
      </x:c>
      <x:c r="W105" s="20" t="str">
        <x:v>1</x:v>
      </x:c>
      <x:c r="X105" s="20" t="str">
        <x:v>0</x:v>
      </x:c>
      <x:c r="Y105" s="20" t="str">
        <x:v>0</x:v>
      </x:c>
      <x:c r="Z105" s="20" t="str">
        <x:v>0</x:v>
      </x:c>
      <x:c r="AA105" s="20" t="str">
        <x:v>0</x:v>
      </x:c>
      <x:c r="AB105" s="20" t="str">
        <x:v>0</x:v>
      </x:c>
      <x:c r="AC105" s="20" t="str">
        <x:v>0</x:v>
      </x:c>
      <x:c r="AD105" s="20" t="str">
        <x:v>0</x:v>
      </x:c>
      <x:c r="AE105" s="20" t="str">
        <x:v>0</x:v>
      </x:c>
    </x:row>
    <x:row r="106">
      <x:c r="A106" s="20" t="str">
        <x:v>bodenreider2004_unified_medical_language</x:v>
      </x:c>
      <x:c r="B106" s="20" t="str">
        <x:v>2004</x:v>
      </x:c>
      <x:c r="C106" s="20" t="str">
        <x:v>The Unified Medical Language System (UMLS): Integrating Biomedical Terminology</x:v>
      </x:c>
      <x:c r="D106" s="20" t="str">
        <x:v>06_RAG_KG_Medical</x:v>
      </x:c>
      <x:c r="E106" s="20" t="str">
        <x:v>0</x:v>
      </x:c>
      <x:c r="F106" s="20" t="str">
        <x:v>0</x:v>
      </x:c>
      <x:c r="G106" s="20" t="str">
        <x:v>0</x:v>
      </x:c>
      <x:c r="H106" s="20" t="str">
        <x:v>0</x:v>
      </x:c>
      <x:c r="I106" s="20" t="str">
        <x:v>0</x:v>
      </x:c>
      <x:c r="J106" s="20" t="str">
        <x:v>0</x:v>
      </x:c>
      <x:c r="K106" s="20" t="str">
        <x:v>0</x:v>
      </x:c>
      <x:c r="L106" s="20" t="str">
        <x:v>0</x:v>
      </x:c>
      <x:c r="M106" s="20" t="str">
        <x:v>0</x:v>
      </x:c>
      <x:c r="N106" s="20" t="str">
        <x:v>0</x:v>
      </x:c>
      <x:c r="O106" s="20" t="str">
        <x:v>0</x:v>
      </x:c>
      <x:c r="P106" s="20" t="str">
        <x:v>0</x:v>
      </x:c>
      <x:c r="Q106" s="20" t="str">
        <x:v>0</x:v>
      </x:c>
      <x:c r="R106" s="20" t="str">
        <x:v>0</x:v>
      </x:c>
      <x:c r="S106" s="20" t="str">
        <x:v>0</x:v>
      </x:c>
      <x:c r="T106" s="20" t="str">
        <x:v>0</x:v>
      </x:c>
      <x:c r="U106" s="20" t="str">
        <x:v>0</x:v>
      </x:c>
      <x:c r="V106" s="20" t="str">
        <x:v>0</x:v>
      </x:c>
      <x:c r="W106" s="20" t="str">
        <x:v>0</x:v>
      </x:c>
      <x:c r="X106" s="20" t="str">
        <x:v>1</x:v>
      </x:c>
      <x:c r="Y106" s="20" t="str">
        <x:v>0</x:v>
      </x:c>
      <x:c r="Z106" s="20" t="str">
        <x:v>0</x:v>
      </x:c>
      <x:c r="AA106" s="20" t="str">
        <x:v>0</x:v>
      </x:c>
      <x:c r="AB106" s="20" t="str">
        <x:v>0</x:v>
      </x:c>
      <x:c r="AC106" s="20" t="str">
        <x:v>0</x:v>
      </x:c>
      <x:c r="AD106" s="20" t="str">
        <x:v>0</x:v>
      </x:c>
      <x:c r="AE106" s="20" t="str">
        <x:v>0</x:v>
      </x:c>
    </x:row>
    <x:row r="107">
      <x:c r="A107" s="20" t="str">
        <x:v>lindberg1993_unified_medical_language</x:v>
      </x:c>
      <x:c r="B107" s="20" t="str">
        <x:v>1993</x:v>
      </x:c>
      <x:c r="C107" s="20" t="str">
        <x:v>The Unified Medical Language System</x:v>
      </x:c>
      <x:c r="D107" s="20" t="str">
        <x:v>06_RAG_KG_Medical</x:v>
      </x:c>
      <x:c r="E107" s="20" t="str">
        <x:v>0</x:v>
      </x:c>
      <x:c r="F107" s="20" t="str">
        <x:v>0</x:v>
      </x:c>
      <x:c r="G107" s="20" t="str">
        <x:v>0</x:v>
      </x:c>
      <x:c r="H107" s="20" t="str">
        <x:v>0</x:v>
      </x:c>
      <x:c r="I107" s="20" t="str">
        <x:v>0</x:v>
      </x:c>
      <x:c r="J107" s="20" t="str">
        <x:v>0</x:v>
      </x:c>
      <x:c r="K107" s="20" t="str">
        <x:v>0</x:v>
      </x:c>
      <x:c r="L107" s="20" t="str">
        <x:v>0</x:v>
      </x:c>
      <x:c r="M107" s="20" t="str">
        <x:v>0</x:v>
      </x:c>
      <x:c r="N107" s="20" t="str">
        <x:v>0</x:v>
      </x:c>
      <x:c r="O107" s="20" t="str">
        <x:v>0</x:v>
      </x:c>
      <x:c r="P107" s="20" t="str">
        <x:v>0</x:v>
      </x:c>
      <x:c r="Q107" s="20" t="str">
        <x:v>0</x:v>
      </x:c>
      <x:c r="R107" s="20" t="str">
        <x:v>0</x:v>
      </x:c>
      <x:c r="S107" s="20" t="str">
        <x:v>0</x:v>
      </x:c>
      <x:c r="T107" s="20" t="str">
        <x:v>0</x:v>
      </x:c>
      <x:c r="U107" s="20" t="str">
        <x:v>0</x:v>
      </x:c>
      <x:c r="V107" s="20" t="str">
        <x:v>0</x:v>
      </x:c>
      <x:c r="W107" s="20" t="str">
        <x:v>0</x:v>
      </x:c>
      <x:c r="X107" s="20" t="str">
        <x:v>1</x:v>
      </x:c>
      <x:c r="Y107" s="20" t="str">
        <x:v>0</x:v>
      </x:c>
      <x:c r="Z107" s="20" t="str">
        <x:v>0</x:v>
      </x:c>
      <x:c r="AA107" s="20" t="str">
        <x:v>0</x:v>
      </x:c>
      <x:c r="AB107" s="20" t="str">
        <x:v>0</x:v>
      </x:c>
      <x:c r="AC107" s="20" t="str">
        <x:v>0</x:v>
      </x:c>
      <x:c r="AD107" s="20" t="str">
        <x:v>0</x:v>
      </x:c>
      <x:c r="AE107" s="20" t="str">
        <x:v>0</x:v>
      </x:c>
    </x:row>
    <x:row r="108">
      <x:c r="A108" s="20" t="str">
        <x:v>zeng2006_exploring_developing_consumer</x:v>
      </x:c>
      <x:c r="B108" s="20" t="str">
        <x:v>2006</x:v>
      </x:c>
      <x:c r="C108" s="20" t="str">
        <x:v>Exploring and Developing Consumer Health Vocabularies</x:v>
      </x:c>
      <x:c r="D108" s="20" t="str">
        <x:v>06_RAG_KG_Medical</x:v>
      </x:c>
      <x:c r="E108" s="20" t="str">
        <x:v>0</x:v>
      </x:c>
      <x:c r="F108" s="20" t="str">
        <x:v>0</x:v>
      </x:c>
      <x:c r="G108" s="20" t="str">
        <x:v>0</x:v>
      </x:c>
      <x:c r="H108" s="20" t="str">
        <x:v>0</x:v>
      </x:c>
      <x:c r="I108" s="20" t="str">
        <x:v>0</x:v>
      </x:c>
      <x:c r="J108" s="20" t="str">
        <x:v>0</x:v>
      </x:c>
      <x:c r="K108" s="20" t="str">
        <x:v>0</x:v>
      </x:c>
      <x:c r="L108" s="20" t="str">
        <x:v>0</x:v>
      </x:c>
      <x:c r="M108" s="20" t="str">
        <x:v>0</x:v>
      </x:c>
      <x:c r="N108" s="20" t="str">
        <x:v>0</x:v>
      </x:c>
      <x:c r="O108" s="20" t="str">
        <x:v>0</x:v>
      </x:c>
      <x:c r="P108" s="20" t="str">
        <x:v>0</x:v>
      </x:c>
      <x:c r="Q108" s="20" t="str">
        <x:v>0</x:v>
      </x:c>
      <x:c r="R108" s="20" t="str">
        <x:v>0</x:v>
      </x:c>
      <x:c r="S108" s="20" t="str">
        <x:v>0</x:v>
      </x:c>
      <x:c r="T108" s="20" t="str">
        <x:v>0</x:v>
      </x:c>
      <x:c r="U108" s="20" t="str">
        <x:v>0</x:v>
      </x:c>
      <x:c r="V108" s="20" t="str">
        <x:v>0</x:v>
      </x:c>
      <x:c r="W108" s="20" t="str">
        <x:v>0</x:v>
      </x:c>
      <x:c r="X108" s="20" t="str">
        <x:v>1</x:v>
      </x:c>
      <x:c r="Y108" s="20" t="str">
        <x:v>0</x:v>
      </x:c>
      <x:c r="Z108" s="20" t="str">
        <x:v>0</x:v>
      </x:c>
      <x:c r="AA108" s="20" t="str">
        <x:v>0</x:v>
      </x:c>
      <x:c r="AB108" s="20" t="str">
        <x:v>0</x:v>
      </x:c>
      <x:c r="AC108" s="20" t="str">
        <x:v>0</x:v>
      </x:c>
      <x:c r="AD108" s="20" t="str">
        <x:v>0</x:v>
      </x:c>
      <x:c r="AE108" s="20" t="str">
        <x:v>0</x:v>
      </x:c>
    </x:row>
    <x:row r="109">
      <x:c r="A109" s="20" t="str">
        <x:v>saggion2017_text_simplification</x:v>
      </x:c>
      <x:c r="B109" s="20" t="str">
        <x:v>2017</x:v>
      </x:c>
      <x:c r="C109" s="20" t="str">
        <x:v>Automatic Text Simplification</x:v>
      </x:c>
      <x:c r="D109" s="20" t="str">
        <x:v>02_Adjacent_Multilingual_TS</x:v>
      </x:c>
      <x:c r="E109" s="20" t="str">
        <x:v>0</x:v>
      </x:c>
      <x:c r="F109" s="20" t="str">
        <x:v>0</x:v>
      </x:c>
      <x:c r="G109" s="20" t="str">
        <x:v>0</x:v>
      </x:c>
      <x:c r="H109" s="20" t="str">
        <x:v>0</x:v>
      </x:c>
      <x:c r="I109" s="20" t="str">
        <x:v>0</x:v>
      </x:c>
      <x:c r="J109" s="20" t="str">
        <x:v>0</x:v>
      </x:c>
      <x:c r="K109" s="20" t="str">
        <x:v>0</x:v>
      </x:c>
      <x:c r="L109" s="20" t="str">
        <x:v>0</x:v>
      </x:c>
      <x:c r="M109" s="20" t="str">
        <x:v>0</x:v>
      </x:c>
      <x:c r="N109" s="20" t="str">
        <x:v>0</x:v>
      </x:c>
      <x:c r="O109" s="20" t="str">
        <x:v>0</x:v>
      </x:c>
      <x:c r="P109" s="20" t="str">
        <x:v>0</x:v>
      </x:c>
      <x:c r="Q109" s="20" t="str">
        <x:v>0</x:v>
      </x:c>
      <x:c r="R109" s="20" t="str">
        <x:v>0</x:v>
      </x:c>
      <x:c r="S109" s="20" t="str">
        <x:v>0</x:v>
      </x:c>
      <x:c r="T109" s="20" t="str">
        <x:v>0</x:v>
      </x:c>
      <x:c r="U109" s="20" t="str">
        <x:v>0</x:v>
      </x:c>
      <x:c r="V109" s="20" t="str">
        <x:v>0</x:v>
      </x:c>
      <x:c r="W109" s="20" t="str">
        <x:v>1</x:v>
      </x:c>
      <x:c r="X109" s="20" t="str">
        <x:v>0</x:v>
      </x:c>
      <x:c r="Y109" s="20" t="str">
        <x:v>0</x:v>
      </x:c>
      <x:c r="Z109" s="20" t="str">
        <x:v>0</x:v>
      </x:c>
      <x:c r="AA109" s="20" t="str">
        <x:v>0</x:v>
      </x:c>
      <x:c r="AB109" s="20" t="str">
        <x:v>0</x:v>
      </x:c>
      <x:c r="AC109" s="20" t="str">
        <x:v>0</x:v>
      </x:c>
      <x:c r="AD109" s="20" t="str">
        <x:v>0</x:v>
      </x:c>
      <x:c r="AE109" s="20" t="str">
        <x:v>0</x:v>
      </x:c>
    </x:row>
    <x:row r="110">
      <x:c r="A110" s="20" t="str">
        <x:v>alvamanchego2020_easse_easier_sentence</x:v>
      </x:c>
      <x:c r="B110" s="20" t="str">
        <x:v>2020</x:v>
      </x:c>
      <x:c r="C110" s="20" t="str">
        <x:v>EASSE: Easier Automatic Sentence Simplification Evaluation</x:v>
      </x:c>
      <x:c r="D110" s="20" t="str">
        <x:v>02_Adjacent_Multilingual_TS</x:v>
      </x:c>
      <x:c r="E110" s="20" t="str">
        <x:v>0</x:v>
      </x:c>
      <x:c r="F110" s="20" t="str">
        <x:v>0</x:v>
      </x:c>
      <x:c r="G110" s="20" t="str">
        <x:v>0</x:v>
      </x:c>
      <x:c r="H110" s="20" t="str">
        <x:v>0</x:v>
      </x:c>
      <x:c r="I110" s="20" t="str">
        <x:v>0</x:v>
      </x:c>
      <x:c r="J110" s="20" t="str">
        <x:v>0</x:v>
      </x:c>
      <x:c r="K110" s="20" t="str">
        <x:v>0</x:v>
      </x:c>
      <x:c r="L110" s="20" t="str">
        <x:v>0</x:v>
      </x:c>
      <x:c r="M110" s="20" t="str">
        <x:v>0</x:v>
      </x:c>
      <x:c r="N110" s="20" t="str">
        <x:v>0</x:v>
      </x:c>
      <x:c r="O110" s="20" t="str">
        <x:v>0</x:v>
      </x:c>
      <x:c r="P110" s="20" t="str">
        <x:v>0</x:v>
      </x:c>
      <x:c r="Q110" s="20" t="str">
        <x:v>0</x:v>
      </x:c>
      <x:c r="R110" s="20" t="str">
        <x:v>0</x:v>
      </x:c>
      <x:c r="S110" s="20" t="str">
        <x:v>0</x:v>
      </x:c>
      <x:c r="T110" s="20" t="str">
        <x:v>0</x:v>
      </x:c>
      <x:c r="U110" s="20" t="str">
        <x:v>0</x:v>
      </x:c>
      <x:c r="V110" s="20" t="str">
        <x:v>0</x:v>
      </x:c>
      <x:c r="W110" s="20" t="str">
        <x:v>1</x:v>
      </x:c>
      <x:c r="X110" s="20" t="str">
        <x:v>0</x:v>
      </x:c>
      <x:c r="Y110" s="20" t="str">
        <x:v>0</x:v>
      </x:c>
      <x:c r="Z110" s="20" t="str">
        <x:v>0</x:v>
      </x:c>
      <x:c r="AA110" s="20" t="str">
        <x:v>0</x:v>
      </x:c>
      <x:c r="AB110" s="20" t="str">
        <x:v>0</x:v>
      </x:c>
      <x:c r="AC110" s="20" t="str">
        <x:v>0</x:v>
      </x:c>
      <x:c r="AD110" s="20" t="str">
        <x:v>0</x:v>
      </x:c>
      <x:c r="AE110" s="20" t="str">
        <x:v>0</x:v>
      </x:c>
    </x:row>
    <x:row r="111">
      <x:c r="A111" s="20" t="str">
        <x:v>xu2016_optimizing_statistical_machine</x:v>
      </x:c>
      <x:c r="B111" s="20" t="str">
        <x:v>2016</x:v>
      </x:c>
      <x:c r="C111" s="20" t="str">
        <x:v>Optimizing Statistical Machine Translation for Text Simplification</x:v>
      </x:c>
      <x:c r="D111" s="20" t="str">
        <x:v>02_Adjacent_Multilingual_TS</x:v>
      </x:c>
      <x:c r="E111" s="20" t="str">
        <x:v>0</x:v>
      </x:c>
      <x:c r="F111" s="20" t="str">
        <x:v>0</x:v>
      </x:c>
      <x:c r="G111" s="20" t="str">
        <x:v>0</x:v>
      </x:c>
      <x:c r="H111" s="20" t="str">
        <x:v>0</x:v>
      </x:c>
      <x:c r="I111" s="20" t="str">
        <x:v>0</x:v>
      </x:c>
      <x:c r="J111" s="20" t="str">
        <x:v>0</x:v>
      </x:c>
      <x:c r="K111" s="20" t="str">
        <x:v>0</x:v>
      </x:c>
      <x:c r="L111" s="20" t="str">
        <x:v>0</x:v>
      </x:c>
      <x:c r="M111" s="20" t="str">
        <x:v>0</x:v>
      </x:c>
      <x:c r="N111" s="20" t="str">
        <x:v>0</x:v>
      </x:c>
      <x:c r="O111" s="20" t="str">
        <x:v>0</x:v>
      </x:c>
      <x:c r="P111" s="20" t="str">
        <x:v>0</x:v>
      </x:c>
      <x:c r="Q111" s="20" t="str">
        <x:v>0</x:v>
      </x:c>
      <x:c r="R111" s="20" t="str">
        <x:v>0</x:v>
      </x:c>
      <x:c r="S111" s="20" t="str">
        <x:v>0</x:v>
      </x:c>
      <x:c r="T111" s="20" t="str">
        <x:v>0</x:v>
      </x:c>
      <x:c r="U111" s="20" t="str">
        <x:v>0</x:v>
      </x:c>
      <x:c r="V111" s="20" t="str">
        <x:v>0</x:v>
      </x:c>
      <x:c r="W111" s="20" t="str">
        <x:v>1</x:v>
      </x:c>
      <x:c r="X111" s="20" t="str">
        <x:v>0</x:v>
      </x:c>
      <x:c r="Y111" s="20" t="str">
        <x:v>0</x:v>
      </x:c>
      <x:c r="Z111" s="20" t="str">
        <x:v>0</x:v>
      </x:c>
      <x:c r="AA111" s="20" t="str">
        <x:v>0</x:v>
      </x:c>
      <x:c r="AB111" s="20" t="str">
        <x:v>0</x:v>
      </x:c>
      <x:c r="AC111" s="20" t="str">
        <x:v>0</x:v>
      </x:c>
      <x:c r="AD111" s="20" t="str">
        <x:v>0</x:v>
      </x:c>
      <x:c r="AE111" s="20" t="str">
        <x:v>0</x:v>
      </x:c>
    </x:row>
    <x:row r="112">
      <x:c r="A112" s="20" t="str">
        <x:v>zhang2017_sentence_simplification_deep</x:v>
      </x:c>
      <x:c r="B112" s="20" t="str">
        <x:v>2017</x:v>
      </x:c>
      <x:c r="C112" s="20" t="str">
        <x:v>Sentence Simplification with Deep Reinforcement Learning</x:v>
      </x:c>
      <x:c r="D112" s="20" t="str">
        <x:v>02_Adjacent_Multilingual_TS</x:v>
      </x:c>
      <x:c r="E112" s="20" t="str">
        <x:v>0</x:v>
      </x:c>
      <x:c r="F112" s="20" t="str">
        <x:v>0</x:v>
      </x:c>
      <x:c r="G112" s="20" t="str">
        <x:v>0</x:v>
      </x:c>
      <x:c r="H112" s="20" t="str">
        <x:v>0</x:v>
      </x:c>
      <x:c r="I112" s="20" t="str">
        <x:v>0</x:v>
      </x:c>
      <x:c r="J112" s="20" t="str">
        <x:v>0</x:v>
      </x:c>
      <x:c r="K112" s="20" t="str">
        <x:v>0</x:v>
      </x:c>
      <x:c r="L112" s="20" t="str">
        <x:v>0</x:v>
      </x:c>
      <x:c r="M112" s="20" t="str">
        <x:v>0</x:v>
      </x:c>
      <x:c r="N112" s="20" t="str">
        <x:v>0</x:v>
      </x:c>
      <x:c r="O112" s="20" t="str">
        <x:v>0</x:v>
      </x:c>
      <x:c r="P112" s="20" t="str">
        <x:v>0</x:v>
      </x:c>
      <x:c r="Q112" s="20" t="str">
        <x:v>0</x:v>
      </x:c>
      <x:c r="R112" s="20" t="str">
        <x:v>0</x:v>
      </x:c>
      <x:c r="S112" s="20" t="str">
        <x:v>0</x:v>
      </x:c>
      <x:c r="T112" s="20" t="str">
        <x:v>0</x:v>
      </x:c>
      <x:c r="U112" s="20" t="str">
        <x:v>0</x:v>
      </x:c>
      <x:c r="V112" s="20" t="str">
        <x:v>0</x:v>
      </x:c>
      <x:c r="W112" s="20" t="str">
        <x:v>1</x:v>
      </x:c>
      <x:c r="X112" s="20" t="str">
        <x:v>0</x:v>
      </x:c>
      <x:c r="Y112" s="20" t="str">
        <x:v>0</x:v>
      </x:c>
      <x:c r="Z112" s="20" t="str">
        <x:v>0</x:v>
      </x:c>
      <x:c r="AA112" s="20" t="str">
        <x:v>0</x:v>
      </x:c>
      <x:c r="AB112" s="20" t="str">
        <x:v>0</x:v>
      </x:c>
      <x:c r="AC112" s="20" t="str">
        <x:v>0</x:v>
      </x:c>
      <x:c r="AD112" s="20" t="str">
        <x:v>0</x:v>
      </x:c>
      <x:c r="AE112" s="20" t="str">
        <x:v>0</x:v>
      </x:c>
    </x:row>
    <x:row r="113">
      <x:c r="A113" s="20" t="str">
        <x:v>nisioi2017_exploring_neural_text</x:v>
      </x:c>
      <x:c r="B113" s="20" t="str">
        <x:v>2017</x:v>
      </x:c>
      <x:c r="C113" s="20" t="str">
        <x:v>Exploring Neural Text Simplification Models</x:v>
      </x:c>
      <x:c r="D113" s="20" t="str">
        <x:v>02_Adjacent_Multilingual_TS</x:v>
      </x:c>
      <x:c r="E113" s="20" t="str">
        <x:v>0</x:v>
      </x:c>
      <x:c r="F113" s="20" t="str">
        <x:v>0</x:v>
      </x:c>
      <x:c r="G113" s="20" t="str">
        <x:v>0</x:v>
      </x:c>
      <x:c r="H113" s="20" t="str">
        <x:v>0</x:v>
      </x:c>
      <x:c r="I113" s="20" t="str">
        <x:v>0</x:v>
      </x:c>
      <x:c r="J113" s="20" t="str">
        <x:v>0</x:v>
      </x:c>
      <x:c r="K113" s="20" t="str">
        <x:v>0</x:v>
      </x:c>
      <x:c r="L113" s="20" t="str">
        <x:v>0</x:v>
      </x:c>
      <x:c r="M113" s="20" t="str">
        <x:v>0</x:v>
      </x:c>
      <x:c r="N113" s="20" t="str">
        <x:v>0</x:v>
      </x:c>
      <x:c r="O113" s="20" t="str">
        <x:v>0</x:v>
      </x:c>
      <x:c r="P113" s="20" t="str">
        <x:v>0</x:v>
      </x:c>
      <x:c r="Q113" s="20" t="str">
        <x:v>0</x:v>
      </x:c>
      <x:c r="R113" s="20" t="str">
        <x:v>0</x:v>
      </x:c>
      <x:c r="S113" s="20" t="str">
        <x:v>0</x:v>
      </x:c>
      <x:c r="T113" s="20" t="str">
        <x:v>0</x:v>
      </x:c>
      <x:c r="U113" s="20" t="str">
        <x:v>0</x:v>
      </x:c>
      <x:c r="V113" s="20" t="str">
        <x:v>0</x:v>
      </x:c>
      <x:c r="W113" s="20" t="str">
        <x:v>1</x:v>
      </x:c>
      <x:c r="X113" s="20" t="str">
        <x:v>0</x:v>
      </x:c>
      <x:c r="Y113" s="20" t="str">
        <x:v>0</x:v>
      </x:c>
      <x:c r="Z113" s="20" t="str">
        <x:v>0</x:v>
      </x:c>
      <x:c r="AA113" s="20" t="str">
        <x:v>0</x:v>
      </x:c>
      <x:c r="AB113" s="20" t="str">
        <x:v>0</x:v>
      </x:c>
      <x:c r="AC113" s="20" t="str">
        <x:v>0</x:v>
      </x:c>
      <x:c r="AD113" s="20" t="str">
        <x:v>0</x:v>
      </x:c>
      <x:c r="AE113" s="20" t="str">
        <x:v>0</x:v>
      </x:c>
    </x:row>
    <x:row r="114">
      <x:c r="A114" s="20" t="str">
        <x:v>martin2020_muss_multilingual_unsupervised</x:v>
      </x:c>
      <x:c r="B114" s="20" t="str">
        <x:v>2020</x:v>
      </x:c>
      <x:c r="C114" s="20" t="str">
        <x:v>MUSS: Multilingual Unsupervised Sentence Simplification by Mining Paraphrases</x:v>
      </x:c>
      <x:c r="D114" s="20" t="str">
        <x:v>02_Adjacent_Multilingual_TS</x:v>
      </x:c>
      <x:c r="E114" s="20" t="str">
        <x:v>0</x:v>
      </x:c>
      <x:c r="F114" s="20" t="str">
        <x:v>0</x:v>
      </x:c>
      <x:c r="G114" s="20" t="str">
        <x:v>0</x:v>
      </x:c>
      <x:c r="H114" s="20" t="str">
        <x:v>0</x:v>
      </x:c>
      <x:c r="I114" s="20" t="str">
        <x:v>0</x:v>
      </x:c>
      <x:c r="J114" s="20" t="str">
        <x:v>0</x:v>
      </x:c>
      <x:c r="K114" s="20" t="str">
        <x:v>0</x:v>
      </x:c>
      <x:c r="L114" s="20" t="str">
        <x:v>0</x:v>
      </x:c>
      <x:c r="M114" s="20" t="str">
        <x:v>0</x:v>
      </x:c>
      <x:c r="N114" s="20" t="str">
        <x:v>0</x:v>
      </x:c>
      <x:c r="O114" s="20" t="str">
        <x:v>0</x:v>
      </x:c>
      <x:c r="P114" s="20" t="str">
        <x:v>0</x:v>
      </x:c>
      <x:c r="Q114" s="20" t="str">
        <x:v>0</x:v>
      </x:c>
      <x:c r="R114" s="20" t="str">
        <x:v>0</x:v>
      </x:c>
      <x:c r="S114" s="20" t="str">
        <x:v>0</x:v>
      </x:c>
      <x:c r="T114" s="20" t="str">
        <x:v>0</x:v>
      </x:c>
      <x:c r="U114" s="20" t="str">
        <x:v>0</x:v>
      </x:c>
      <x:c r="V114" s="20" t="str">
        <x:v>0</x:v>
      </x:c>
      <x:c r="W114" s="20" t="str">
        <x:v>1</x:v>
      </x:c>
      <x:c r="X114" s="20" t="str">
        <x:v>0</x:v>
      </x:c>
      <x:c r="Y114" s="20" t="str">
        <x:v>0</x:v>
      </x:c>
      <x:c r="Z114" s="20" t="str">
        <x:v>0</x:v>
      </x:c>
      <x:c r="AA114" s="20" t="str">
        <x:v>0</x:v>
      </x:c>
      <x:c r="AB114" s="20" t="str">
        <x:v>0</x:v>
      </x:c>
      <x:c r="AC114" s="20" t="str">
        <x:v>0</x:v>
      </x:c>
      <x:c r="AD114" s="20" t="str">
        <x:v>0</x:v>
      </x:c>
      <x:c r="AE114" s="20" t="str">
        <x:v>0</x:v>
      </x:c>
    </x:row>
    <x:row r="115">
      <x:c r="A115" s="20" t="str">
        <x:v>martin2022_muss_multilingual_simplification</x:v>
      </x:c>
      <x:c r="B115" s="20" t="str">
        <x:v>2022</x:v>
      </x:c>
      <x:c r="C115" s="20" t="str">
        <x:v>MUSS: Multilingual Simplification by Encoding Simplification Operations</x:v>
      </x:c>
      <x:c r="D115" s="20" t="str">
        <x:v>02_Adjacent_Multilingual_TS</x:v>
      </x:c>
      <x:c r="E115" s="20" t="str">
        <x:v>0</x:v>
      </x:c>
      <x:c r="F115" s="20" t="str">
        <x:v>0</x:v>
      </x:c>
      <x:c r="G115" s="20" t="str">
        <x:v>0</x:v>
      </x:c>
      <x:c r="H115" s="20" t="str">
        <x:v>0</x:v>
      </x:c>
      <x:c r="I115" s="20" t="str">
        <x:v>0</x:v>
      </x:c>
      <x:c r="J115" s="20" t="str">
        <x:v>0</x:v>
      </x:c>
      <x:c r="K115" s="20" t="str">
        <x:v>0</x:v>
      </x:c>
      <x:c r="L115" s="20" t="str">
        <x:v>0</x:v>
      </x:c>
      <x:c r="M115" s="20" t="str">
        <x:v>0</x:v>
      </x:c>
      <x:c r="N115" s="20" t="str">
        <x:v>0</x:v>
      </x:c>
      <x:c r="O115" s="20" t="str">
        <x:v>0</x:v>
      </x:c>
      <x:c r="P115" s="20" t="str">
        <x:v>0</x:v>
      </x:c>
      <x:c r="Q115" s="20" t="str">
        <x:v>0</x:v>
      </x:c>
      <x:c r="R115" s="20" t="str">
        <x:v>0</x:v>
      </x:c>
      <x:c r="S115" s="20" t="str">
        <x:v>0</x:v>
      </x:c>
      <x:c r="T115" s="20" t="str">
        <x:v>0</x:v>
      </x:c>
      <x:c r="U115" s="20" t="str">
        <x:v>0</x:v>
      </x:c>
      <x:c r="V115" s="20" t="str">
        <x:v>0</x:v>
      </x:c>
      <x:c r="W115" s="20" t="str">
        <x:v>1</x:v>
      </x:c>
      <x:c r="X115" s="20" t="str">
        <x:v>0</x:v>
      </x:c>
      <x:c r="Y115" s="20" t="str">
        <x:v>0</x:v>
      </x:c>
      <x:c r="Z115" s="20" t="str">
        <x:v>0</x:v>
      </x:c>
      <x:c r="AA115" s="20" t="str">
        <x:v>0</x:v>
      </x:c>
      <x:c r="AB115" s="20" t="str">
        <x:v>0</x:v>
      </x:c>
      <x:c r="AC115" s="20" t="str">
        <x:v>0</x:v>
      </x:c>
      <x:c r="AD115" s="20" t="str">
        <x:v>0</x:v>
      </x:c>
      <x:c r="AE115" s="20" t="str">
        <x:v>0</x:v>
      </x:c>
    </x:row>
    <x:row r="116">
      <x:c r="A116" s="20" t="str">
        <x:v>scarton2018_learning_simplification_specific</x:v>
      </x:c>
      <x:c r="B116" s="20" t="str">
        <x:v>2018</x:v>
      </x:c>
      <x:c r="C116" s="20" t="str">
        <x:v>Learning Simplifications for Specific Target Audiences</x:v>
      </x:c>
      <x:c r="D116" s="20" t="str">
        <x:v>02_Adjacent_Multilingual_TS</x:v>
      </x:c>
      <x:c r="E116" s="20" t="str">
        <x:v>0</x:v>
      </x:c>
      <x:c r="F116" s="20" t="str">
        <x:v>0</x:v>
      </x:c>
      <x:c r="G116" s="20" t="str">
        <x:v>0</x:v>
      </x:c>
      <x:c r="H116" s="20" t="str">
        <x:v>0</x:v>
      </x:c>
      <x:c r="I116" s="20" t="str">
        <x:v>0</x:v>
      </x:c>
      <x:c r="J116" s="20" t="str">
        <x:v>0</x:v>
      </x:c>
      <x:c r="K116" s="20" t="str">
        <x:v>0</x:v>
      </x:c>
      <x:c r="L116" s="20" t="str">
        <x:v>0</x:v>
      </x:c>
      <x:c r="M116" s="20" t="str">
        <x:v>0</x:v>
      </x:c>
      <x:c r="N116" s="20" t="str">
        <x:v>0</x:v>
      </x:c>
      <x:c r="O116" s="20" t="str">
        <x:v>0</x:v>
      </x:c>
      <x:c r="P116" s="20" t="str">
        <x:v>0</x:v>
      </x:c>
      <x:c r="Q116" s="20" t="str">
        <x:v>0</x:v>
      </x:c>
      <x:c r="R116" s="20" t="str">
        <x:v>0</x:v>
      </x:c>
      <x:c r="S116" s="20" t="str">
        <x:v>0</x:v>
      </x:c>
      <x:c r="T116" s="20" t="str">
        <x:v>0</x:v>
      </x:c>
      <x:c r="U116" s="20" t="str">
        <x:v>0</x:v>
      </x:c>
      <x:c r="V116" s="20" t="str">
        <x:v>0</x:v>
      </x:c>
      <x:c r="W116" s="20" t="str">
        <x:v>1</x:v>
      </x:c>
      <x:c r="X116" s="20" t="str">
        <x:v>0</x:v>
      </x:c>
      <x:c r="Y116" s="20" t="str">
        <x:v>0</x:v>
      </x:c>
      <x:c r="Z116" s="20" t="str">
        <x:v>0</x:v>
      </x:c>
      <x:c r="AA116" s="20" t="str">
        <x:v>0</x:v>
      </x:c>
      <x:c r="AB116" s="20" t="str">
        <x:v>0</x:v>
      </x:c>
      <x:c r="AC116" s="20" t="str">
        <x:v>0</x:v>
      </x:c>
      <x:c r="AD116" s="20" t="str">
        <x:v>0</x:v>
      </x:c>
      <x:c r="AE116" s="20" t="str">
        <x:v>0</x:v>
      </x:c>
    </x:row>
    <x:row r="117">
      <x:c r="A117" s="20" t="str">
        <x:v>maddela2018_word_complexity_lexicon</x:v>
      </x:c>
      <x:c r="B117" s="20" t="str">
        <x:v>2018</x:v>
      </x:c>
      <x:c r="C117" s="20" t="str">
        <x:v>A Word-Complexity Lexicon and A Neural Readability Ranking Model for Lexical Simplification</x:v>
      </x:c>
      <x:c r="D117" s="20" t="str">
        <x:v>02_Adjacent_Multilingual_TS</x:v>
      </x:c>
      <x:c r="E117" s="20" t="str">
        <x:v>0</x:v>
      </x:c>
      <x:c r="F117" s="20" t="str">
        <x:v>0</x:v>
      </x:c>
      <x:c r="G117" s="20" t="str">
        <x:v>0</x:v>
      </x:c>
      <x:c r="H117" s="20" t="str">
        <x:v>0</x:v>
      </x:c>
      <x:c r="I117" s="20" t="str">
        <x:v>0</x:v>
      </x:c>
      <x:c r="J117" s="20" t="str">
        <x:v>0</x:v>
      </x:c>
      <x:c r="K117" s="20" t="str">
        <x:v>0</x:v>
      </x:c>
      <x:c r="L117" s="20" t="str">
        <x:v>0</x:v>
      </x:c>
      <x:c r="M117" s="20" t="str">
        <x:v>0</x:v>
      </x:c>
      <x:c r="N117" s="20" t="str">
        <x:v>0</x:v>
      </x:c>
      <x:c r="O117" s="20" t="str">
        <x:v>0</x:v>
      </x:c>
      <x:c r="P117" s="20" t="str">
        <x:v>0</x:v>
      </x:c>
      <x:c r="Q117" s="20" t="str">
        <x:v>0</x:v>
      </x:c>
      <x:c r="R117" s="20" t="str">
        <x:v>0</x:v>
      </x:c>
      <x:c r="S117" s="20" t="str">
        <x:v>1</x:v>
      </x:c>
      <x:c r="T117" s="20" t="str">
        <x:v>0</x:v>
      </x:c>
      <x:c r="U117" s="20" t="str">
        <x:v>0</x:v>
      </x:c>
      <x:c r="V117" s="20" t="str">
        <x:v>0</x:v>
      </x:c>
      <x:c r="W117" s="20" t="str">
        <x:v>0</x:v>
      </x:c>
      <x:c r="X117" s="20" t="str">
        <x:v>0</x:v>
      </x:c>
      <x:c r="Y117" s="20" t="str">
        <x:v>0</x:v>
      </x:c>
      <x:c r="Z117" s="20" t="str">
        <x:v>0</x:v>
      </x:c>
      <x:c r="AA117" s="20" t="str">
        <x:v>0</x:v>
      </x:c>
      <x:c r="AB117" s="20" t="str">
        <x:v>0</x:v>
      </x:c>
      <x:c r="AC117" s="20" t="str">
        <x:v>0</x:v>
      </x:c>
      <x:c r="AD117" s="20" t="str">
        <x:v>0</x:v>
      </x:c>
      <x:c r="AE117" s="20" t="str">
        <x:v>0</x:v>
      </x:c>
    </x:row>
    <x:row r="118">
      <x:c r="A118" s="20" t="str">
        <x:v>shardlow2014_text_simplification</x:v>
      </x:c>
      <x:c r="B118" s="20" t="str">
        <x:v>2014</x:v>
      </x:c>
      <x:c r="C118" s="20" t="str">
        <x:v>A Survey of Automated Text Simplification</x:v>
      </x:c>
      <x:c r="D118" s="20" t="str">
        <x:v>02_Adjacent_Multilingual_TS</x:v>
      </x:c>
      <x:c r="E118" s="20" t="str">
        <x:v>0</x:v>
      </x:c>
      <x:c r="F118" s="20" t="str">
        <x:v>0</x:v>
      </x:c>
      <x:c r="G118" s="20" t="str">
        <x:v>0</x:v>
      </x:c>
      <x:c r="H118" s="20" t="str">
        <x:v>0</x:v>
      </x:c>
      <x:c r="I118" s="20" t="str">
        <x:v>0</x:v>
      </x:c>
      <x:c r="J118" s="20" t="str">
        <x:v>0</x:v>
      </x:c>
      <x:c r="K118" s="20" t="str">
        <x:v>0</x:v>
      </x:c>
      <x:c r="L118" s="20" t="str">
        <x:v>0</x:v>
      </x:c>
      <x:c r="M118" s="20" t="str">
        <x:v>0</x:v>
      </x:c>
      <x:c r="N118" s="20" t="str">
        <x:v>0</x:v>
      </x:c>
      <x:c r="O118" s="20" t="str">
        <x:v>0</x:v>
      </x:c>
      <x:c r="P118" s="20" t="str">
        <x:v>0</x:v>
      </x:c>
      <x:c r="Q118" s="20" t="str">
        <x:v>0</x:v>
      </x:c>
      <x:c r="R118" s="20" t="str">
        <x:v>0</x:v>
      </x:c>
      <x:c r="S118" s="20" t="str">
        <x:v>0</x:v>
      </x:c>
      <x:c r="T118" s="20" t="str">
        <x:v>0</x:v>
      </x:c>
      <x:c r="U118" s="20" t="str">
        <x:v>0</x:v>
      </x:c>
      <x:c r="V118" s="20" t="str">
        <x:v>0</x:v>
      </x:c>
      <x:c r="W118" s="20" t="str">
        <x:v>1</x:v>
      </x:c>
      <x:c r="X118" s="20" t="str">
        <x:v>0</x:v>
      </x:c>
      <x:c r="Y118" s="20" t="str">
        <x:v>0</x:v>
      </x:c>
      <x:c r="Z118" s="20" t="str">
        <x:v>0</x:v>
      </x:c>
      <x:c r="AA118" s="20" t="str">
        <x:v>0</x:v>
      </x:c>
      <x:c r="AB118" s="20" t="str">
        <x:v>0</x:v>
      </x:c>
      <x:c r="AC118" s="20" t="str">
        <x:v>0</x:v>
      </x:c>
      <x:c r="AD118" s="20" t="str">
        <x:v>0</x:v>
      </x:c>
      <x:c r="AE118" s="20" t="str">
        <x:v>0</x:v>
      </x:c>
    </x:row>
    <x:row r="119">
      <x:c r="A119" s="20" t="str">
        <x:v>paetzold2017_lexical_simplification</x:v>
      </x:c>
      <x:c r="B119" s="20" t="str">
        <x:v>2017</x:v>
      </x:c>
      <x:c r="C119" s="20" t="str">
        <x:v>A Survey on Lexical Simplification</x:v>
      </x:c>
      <x:c r="D119" s="20" t="str">
        <x:v>02_Adjacent_Multilingual_TS</x:v>
      </x:c>
      <x:c r="E119" s="20" t="str">
        <x:v>0</x:v>
      </x:c>
      <x:c r="F119" s="20" t="str">
        <x:v>0</x:v>
      </x:c>
      <x:c r="G119" s="20" t="str">
        <x:v>0</x:v>
      </x:c>
      <x:c r="H119" s="20" t="str">
        <x:v>0</x:v>
      </x:c>
      <x:c r="I119" s="20" t="str">
        <x:v>0</x:v>
      </x:c>
      <x:c r="J119" s="20" t="str">
        <x:v>0</x:v>
      </x:c>
      <x:c r="K119" s="20" t="str">
        <x:v>0</x:v>
      </x:c>
      <x:c r="L119" s="20" t="str">
        <x:v>0</x:v>
      </x:c>
      <x:c r="M119" s="20" t="str">
        <x:v>0</x:v>
      </x:c>
      <x:c r="N119" s="20" t="str">
        <x:v>0</x:v>
      </x:c>
      <x:c r="O119" s="20" t="str">
        <x:v>0</x:v>
      </x:c>
      <x:c r="P119" s="20" t="str">
        <x:v>0</x:v>
      </x:c>
      <x:c r="Q119" s="20" t="str">
        <x:v>0</x:v>
      </x:c>
      <x:c r="R119" s="20" t="str">
        <x:v>0</x:v>
      </x:c>
      <x:c r="S119" s="20" t="str">
        <x:v>0</x:v>
      </x:c>
      <x:c r="T119" s="20" t="str">
        <x:v>0</x:v>
      </x:c>
      <x:c r="U119" s="20" t="str">
        <x:v>0</x:v>
      </x:c>
      <x:c r="V119" s="20" t="str">
        <x:v>0</x:v>
      </x:c>
      <x:c r="W119" s="20" t="str">
        <x:v>1</x:v>
      </x:c>
      <x:c r="X119" s="20" t="str">
        <x:v>0</x:v>
      </x:c>
      <x:c r="Y119" s="20" t="str">
        <x:v>0</x:v>
      </x:c>
      <x:c r="Z119" s="20" t="str">
        <x:v>0</x:v>
      </x:c>
      <x:c r="AA119" s="20" t="str">
        <x:v>0</x:v>
      </x:c>
      <x:c r="AB119" s="20" t="str">
        <x:v>0</x:v>
      </x:c>
      <x:c r="AC119" s="20" t="str">
        <x:v>0</x:v>
      </x:c>
      <x:c r="AD119" s="20" t="str">
        <x:v>0</x:v>
      </x:c>
      <x:c r="AE119" s="20" t="str">
        <x:v>0</x:v>
      </x:c>
    </x:row>
    <x:row r="120">
      <x:c r="A120" s="20" t="str">
        <x:v>althanyyan2021_text_simplification</x:v>
      </x:c>
      <x:c r="B120" s="20" t="str">
        <x:v>2021</x:v>
      </x:c>
      <x:c r="C120" s="20" t="str">
        <x:v>Automated Text Simplification: A Survey</x:v>
      </x:c>
      <x:c r="D120" s="20" t="str">
        <x:v>02_Adjacent_Multilingual_TS</x:v>
      </x:c>
      <x:c r="E120" s="20" t="str">
        <x:v>0</x:v>
      </x:c>
      <x:c r="F120" s="20" t="str">
        <x:v>0</x:v>
      </x:c>
      <x:c r="G120" s="20" t="str">
        <x:v>0</x:v>
      </x:c>
      <x:c r="H120" s="20" t="str">
        <x:v>0</x:v>
      </x:c>
      <x:c r="I120" s="20" t="str">
        <x:v>0</x:v>
      </x:c>
      <x:c r="J120" s="20" t="str">
        <x:v>0</x:v>
      </x:c>
      <x:c r="K120" s="20" t="str">
        <x:v>0</x:v>
      </x:c>
      <x:c r="L120" s="20" t="str">
        <x:v>0</x:v>
      </x:c>
      <x:c r="M120" s="20" t="str">
        <x:v>0</x:v>
      </x:c>
      <x:c r="N120" s="20" t="str">
        <x:v>0</x:v>
      </x:c>
      <x:c r="O120" s="20" t="str">
        <x:v>0</x:v>
      </x:c>
      <x:c r="P120" s="20" t="str">
        <x:v>0</x:v>
      </x:c>
      <x:c r="Q120" s="20" t="str">
        <x:v>0</x:v>
      </x:c>
      <x:c r="R120" s="20" t="str">
        <x:v>0</x:v>
      </x:c>
      <x:c r="S120" s="20" t="str">
        <x:v>0</x:v>
      </x:c>
      <x:c r="T120" s="20" t="str">
        <x:v>0</x:v>
      </x:c>
      <x:c r="U120" s="20" t="str">
        <x:v>0</x:v>
      </x:c>
      <x:c r="V120" s="20" t="str">
        <x:v>0</x:v>
      </x:c>
      <x:c r="W120" s="20" t="str">
        <x:v>1</x:v>
      </x:c>
      <x:c r="X120" s="20" t="str">
        <x:v>0</x:v>
      </x:c>
      <x:c r="Y120" s="20" t="str">
        <x:v>0</x:v>
      </x:c>
      <x:c r="Z120" s="20" t="str">
        <x:v>0</x:v>
      </x:c>
      <x:c r="AA120" s="20" t="str">
        <x:v>0</x:v>
      </x:c>
      <x:c r="AB120" s="20" t="str">
        <x:v>0</x:v>
      </x:c>
      <x:c r="AC120" s="20" t="str">
        <x:v>0</x:v>
      </x:c>
      <x:c r="AD120" s="20" t="str">
        <x:v>0</x:v>
      </x:c>
      <x:c r="AE120" s="20" t="str">
        <x:v>0</x:v>
      </x:c>
    </x:row>
    <x:row r="121">
      <x:c r="A121" s="20" t="str">
        <x:v>siddharthan2014_research_text_simplification</x:v>
      </x:c>
      <x:c r="B121" s="20" t="str">
        <x:v>2014</x:v>
      </x:c>
      <x:c r="C121" s="20" t="str">
        <x:v>A Survey of Research on Text Simplification</x:v>
      </x:c>
      <x:c r="D121" s="20" t="str">
        <x:v>02_Adjacent_Multilingual_TS</x:v>
      </x:c>
      <x:c r="E121" s="20" t="str">
        <x:v>0</x:v>
      </x:c>
      <x:c r="F121" s="20" t="str">
        <x:v>0</x:v>
      </x:c>
      <x:c r="G121" s="20" t="str">
        <x:v>0</x:v>
      </x:c>
      <x:c r="H121" s="20" t="str">
        <x:v>0</x:v>
      </x:c>
      <x:c r="I121" s="20" t="str">
        <x:v>0</x:v>
      </x:c>
      <x:c r="J121" s="20" t="str">
        <x:v>0</x:v>
      </x:c>
      <x:c r="K121" s="20" t="str">
        <x:v>0</x:v>
      </x:c>
      <x:c r="L121" s="20" t="str">
        <x:v>0</x:v>
      </x:c>
      <x:c r="M121" s="20" t="str">
        <x:v>0</x:v>
      </x:c>
      <x:c r="N121" s="20" t="str">
        <x:v>0</x:v>
      </x:c>
      <x:c r="O121" s="20" t="str">
        <x:v>0</x:v>
      </x:c>
      <x:c r="P121" s="20" t="str">
        <x:v>0</x:v>
      </x:c>
      <x:c r="Q121" s="20" t="str">
        <x:v>0</x:v>
      </x:c>
      <x:c r="R121" s="20" t="str">
        <x:v>0</x:v>
      </x:c>
      <x:c r="S121" s="20" t="str">
        <x:v>0</x:v>
      </x:c>
      <x:c r="T121" s="20" t="str">
        <x:v>0</x:v>
      </x:c>
      <x:c r="U121" s="20" t="str">
        <x:v>0</x:v>
      </x:c>
      <x:c r="V121" s="20" t="str">
        <x:v>0</x:v>
      </x:c>
      <x:c r="W121" s="20" t="str">
        <x:v>1</x:v>
      </x:c>
      <x:c r="X121" s="20" t="str">
        <x:v>0</x:v>
      </x:c>
      <x:c r="Y121" s="20" t="str">
        <x:v>0</x:v>
      </x:c>
      <x:c r="Z121" s="20" t="str">
        <x:v>0</x:v>
      </x:c>
      <x:c r="AA121" s="20" t="str">
        <x:v>0</x:v>
      </x:c>
      <x:c r="AB121" s="20" t="str">
        <x:v>0</x:v>
      </x:c>
      <x:c r="AC121" s="20" t="str">
        <x:v>0</x:v>
      </x:c>
      <x:c r="AD121" s="20" t="str">
        <x:v>0</x:v>
      </x:c>
      <x:c r="AE121" s="20" t="str">
        <x:v>0</x:v>
      </x:c>
    </x:row>
    <x:row r="122">
      <x:c r="A122" s="20" t="str">
        <x:v>zhu2010_monolingual_tree_translation</x:v>
      </x:c>
      <x:c r="B122" s="20" t="str">
        <x:v>2010</x:v>
      </x:c>
      <x:c r="C122" s="20" t="str">
        <x:v>A Monolingual Tree-based Translation Model for Sentence Simplification</x:v>
      </x:c>
      <x:c r="D122" s="20" t="str">
        <x:v>02_Adjacent_Multilingual_TS</x:v>
      </x:c>
      <x:c r="E122" s="20" t="str">
        <x:v>0</x:v>
      </x:c>
      <x:c r="F122" s="20" t="str">
        <x:v>0</x:v>
      </x:c>
      <x:c r="G122" s="20" t="str">
        <x:v>0</x:v>
      </x:c>
      <x:c r="H122" s="20" t="str">
        <x:v>0</x:v>
      </x:c>
      <x:c r="I122" s="20" t="str">
        <x:v>0</x:v>
      </x:c>
      <x:c r="J122" s="20" t="str">
        <x:v>0</x:v>
      </x:c>
      <x:c r="K122" s="20" t="str">
        <x:v>0</x:v>
      </x:c>
      <x:c r="L122" s="20" t="str">
        <x:v>0</x:v>
      </x:c>
      <x:c r="M122" s="20" t="str">
        <x:v>0</x:v>
      </x:c>
      <x:c r="N122" s="20" t="str">
        <x:v>0</x:v>
      </x:c>
      <x:c r="O122" s="20" t="str">
        <x:v>0</x:v>
      </x:c>
      <x:c r="P122" s="20" t="str">
        <x:v>0</x:v>
      </x:c>
      <x:c r="Q122" s="20" t="str">
        <x:v>0</x:v>
      </x:c>
      <x:c r="R122" s="20" t="str">
        <x:v>0</x:v>
      </x:c>
      <x:c r="S122" s="20" t="str">
        <x:v>0</x:v>
      </x:c>
      <x:c r="T122" s="20" t="str">
        <x:v>0</x:v>
      </x:c>
      <x:c r="U122" s="20" t="str">
        <x:v>0</x:v>
      </x:c>
      <x:c r="V122" s="20" t="str">
        <x:v>0</x:v>
      </x:c>
      <x:c r="W122" s="20" t="str">
        <x:v>1</x:v>
      </x:c>
      <x:c r="X122" s="20" t="str">
        <x:v>0</x:v>
      </x:c>
      <x:c r="Y122" s="20" t="str">
        <x:v>0</x:v>
      </x:c>
      <x:c r="Z122" s="20" t="str">
        <x:v>0</x:v>
      </x:c>
      <x:c r="AA122" s="20" t="str">
        <x:v>0</x:v>
      </x:c>
      <x:c r="AB122" s="20" t="str">
        <x:v>0</x:v>
      </x:c>
      <x:c r="AC122" s="20" t="str">
        <x:v>0</x:v>
      </x:c>
      <x:c r="AD122" s="20" t="str">
        <x:v>0</x:v>
      </x:c>
      <x:c r="AE122" s="20" t="str">
        <x:v>0</x:v>
      </x:c>
    </x:row>
    <x:row r="123">
      <x:c r="A123" s="20" t="str">
        <x:v>woodsend2011_learning_simplify_sentences</x:v>
      </x:c>
      <x:c r="B123" s="20" t="str">
        <x:v>2011</x:v>
      </x:c>
      <x:c r="C123" s="20" t="str">
        <x:v>Learning to Simplify Sentences with Quasi-Synchronous Grammar and Integer Programming</x:v>
      </x:c>
      <x:c r="D123" s="20" t="str">
        <x:v>02_Adjacent_Multilingual_TS</x:v>
      </x:c>
      <x:c r="E123" s="20" t="str">
        <x:v>0</x:v>
      </x:c>
      <x:c r="F123" s="20" t="str">
        <x:v>0</x:v>
      </x:c>
      <x:c r="G123" s="20" t="str">
        <x:v>0</x:v>
      </x:c>
      <x:c r="H123" s="20" t="str">
        <x:v>0</x:v>
      </x:c>
      <x:c r="I123" s="20" t="str">
        <x:v>0</x:v>
      </x:c>
      <x:c r="J123" s="20" t="str">
        <x:v>0</x:v>
      </x:c>
      <x:c r="K123" s="20" t="str">
        <x:v>0</x:v>
      </x:c>
      <x:c r="L123" s="20" t="str">
        <x:v>0</x:v>
      </x:c>
      <x:c r="M123" s="20" t="str">
        <x:v>0</x:v>
      </x:c>
      <x:c r="N123" s="20" t="str">
        <x:v>0</x:v>
      </x:c>
      <x:c r="O123" s="20" t="str">
        <x:v>0</x:v>
      </x:c>
      <x:c r="P123" s="20" t="str">
        <x:v>0</x:v>
      </x:c>
      <x:c r="Q123" s="20" t="str">
        <x:v>0</x:v>
      </x:c>
      <x:c r="R123" s="20" t="str">
        <x:v>0</x:v>
      </x:c>
      <x:c r="S123" s="20" t="str">
        <x:v>0</x:v>
      </x:c>
      <x:c r="T123" s="20" t="str">
        <x:v>0</x:v>
      </x:c>
      <x:c r="U123" s="20" t="str">
        <x:v>0</x:v>
      </x:c>
      <x:c r="V123" s="20" t="str">
        <x:v>0</x:v>
      </x:c>
      <x:c r="W123" s="20" t="str">
        <x:v>1</x:v>
      </x:c>
      <x:c r="X123" s="20" t="str">
        <x:v>0</x:v>
      </x:c>
      <x:c r="Y123" s="20" t="str">
        <x:v>0</x:v>
      </x:c>
      <x:c r="Z123" s="20" t="str">
        <x:v>0</x:v>
      </x:c>
      <x:c r="AA123" s="20" t="str">
        <x:v>0</x:v>
      </x:c>
      <x:c r="AB123" s="20" t="str">
        <x:v>0</x:v>
      </x:c>
      <x:c r="AC123" s="20" t="str">
        <x:v>0</x:v>
      </x:c>
      <x:c r="AD123" s="20" t="str">
        <x:v>0</x:v>
      </x:c>
      <x:c r="AE123" s="20" t="str">
        <x:v>0</x:v>
      </x:c>
    </x:row>
    <x:row r="124">
      <x:c r="A124" s="20" t="str">
        <x:v>narayan2014_hybrid_simplification_deep</x:v>
      </x:c>
      <x:c r="B124" s="20" t="str">
        <x:v>2014</x:v>
      </x:c>
      <x:c r="C124" s="20" t="str">
        <x:v>Hybrid Simplification using Deep Semantics and Machine Translation</x:v>
      </x:c>
      <x:c r="D124" s="20" t="str">
        <x:v>02_Adjacent_Multilingual_TS</x:v>
      </x:c>
      <x:c r="E124" s="20" t="str">
        <x:v>0</x:v>
      </x:c>
      <x:c r="F124" s="20" t="str">
        <x:v>0</x:v>
      </x:c>
      <x:c r="G124" s="20" t="str">
        <x:v>0</x:v>
      </x:c>
      <x:c r="H124" s="20" t="str">
        <x:v>0</x:v>
      </x:c>
      <x:c r="I124" s="20" t="str">
        <x:v>0</x:v>
      </x:c>
      <x:c r="J124" s="20" t="str">
        <x:v>0</x:v>
      </x:c>
      <x:c r="K124" s="20" t="str">
        <x:v>0</x:v>
      </x:c>
      <x:c r="L124" s="20" t="str">
        <x:v>0</x:v>
      </x:c>
      <x:c r="M124" s="20" t="str">
        <x:v>0</x:v>
      </x:c>
      <x:c r="N124" s="20" t="str">
        <x:v>0</x:v>
      </x:c>
      <x:c r="O124" s="20" t="str">
        <x:v>0</x:v>
      </x:c>
      <x:c r="P124" s="20" t="str">
        <x:v>0</x:v>
      </x:c>
      <x:c r="Q124" s="20" t="str">
        <x:v>0</x:v>
      </x:c>
      <x:c r="R124" s="20" t="str">
        <x:v>0</x:v>
      </x:c>
      <x:c r="S124" s="20" t="str">
        <x:v>0</x:v>
      </x:c>
      <x:c r="T124" s="20" t="str">
        <x:v>0</x:v>
      </x:c>
      <x:c r="U124" s="20" t="str">
        <x:v>0</x:v>
      </x:c>
      <x:c r="V124" s="20" t="str">
        <x:v>0</x:v>
      </x:c>
      <x:c r="W124" s="20" t="str">
        <x:v>0</x:v>
      </x:c>
      <x:c r="X124" s="20" t="str">
        <x:v>0</x:v>
      </x:c>
      <x:c r="Y124" s="20" t="str">
        <x:v>0</x:v>
      </x:c>
      <x:c r="Z124" s="20" t="str">
        <x:v>0</x:v>
      </x:c>
      <x:c r="AA124" s="20" t="str">
        <x:v>0</x:v>
      </x:c>
      <x:c r="AB124" s="20" t="str">
        <x:v>0</x:v>
      </x:c>
      <x:c r="AC124" s="20" t="str">
        <x:v>1</x:v>
      </x:c>
      <x:c r="AD124" s="20" t="str">
        <x:v>0</x:v>
      </x:c>
      <x:c r="AE124" s="20" t="str">
        <x:v>0</x:v>
      </x:c>
    </x:row>
    <x:row r="125">
      <x:c r="A125" s="20" t="str">
        <x:v>wubben2012_sentence_simplification_monolingual</x:v>
      </x:c>
      <x:c r="B125" s="20" t="str">
        <x:v>2012</x:v>
      </x:c>
      <x:c r="C125" s="20" t="str">
        <x:v>Sentence Simplification by Monolingual Machine Translation</x:v>
      </x:c>
      <x:c r="D125" s="20" t="str">
        <x:v>02_Adjacent_Multilingual_TS</x:v>
      </x:c>
      <x:c r="E125" s="20" t="str">
        <x:v>0</x:v>
      </x:c>
      <x:c r="F125" s="20" t="str">
        <x:v>0</x:v>
      </x:c>
      <x:c r="G125" s="20" t="str">
        <x:v>0</x:v>
      </x:c>
      <x:c r="H125" s="20" t="str">
        <x:v>0</x:v>
      </x:c>
      <x:c r="I125" s="20" t="str">
        <x:v>0</x:v>
      </x:c>
      <x:c r="J125" s="20" t="str">
        <x:v>0</x:v>
      </x:c>
      <x:c r="K125" s="20" t="str">
        <x:v>0</x:v>
      </x:c>
      <x:c r="L125" s="20" t="str">
        <x:v>0</x:v>
      </x:c>
      <x:c r="M125" s="20" t="str">
        <x:v>0</x:v>
      </x:c>
      <x:c r="N125" s="20" t="str">
        <x:v>0</x:v>
      </x:c>
      <x:c r="O125" s="20" t="str">
        <x:v>0</x:v>
      </x:c>
      <x:c r="P125" s="20" t="str">
        <x:v>0</x:v>
      </x:c>
      <x:c r="Q125" s="20" t="str">
        <x:v>0</x:v>
      </x:c>
      <x:c r="R125" s="20" t="str">
        <x:v>0</x:v>
      </x:c>
      <x:c r="S125" s="20" t="str">
        <x:v>0</x:v>
      </x:c>
      <x:c r="T125" s="20" t="str">
        <x:v>0</x:v>
      </x:c>
      <x:c r="U125" s="20" t="str">
        <x:v>0</x:v>
      </x:c>
      <x:c r="V125" s="20" t="str">
        <x:v>0</x:v>
      </x:c>
      <x:c r="W125" s="20" t="str">
        <x:v>1</x:v>
      </x:c>
      <x:c r="X125" s="20" t="str">
        <x:v>0</x:v>
      </x:c>
      <x:c r="Y125" s="20" t="str">
        <x:v>0</x:v>
      </x:c>
      <x:c r="Z125" s="20" t="str">
        <x:v>0</x:v>
      </x:c>
      <x:c r="AA125" s="20" t="str">
        <x:v>0</x:v>
      </x:c>
      <x:c r="AB125" s="20" t="str">
        <x:v>0</x:v>
      </x:c>
      <x:c r="AC125" s="20" t="str">
        <x:v>0</x:v>
      </x:c>
      <x:c r="AD125" s="20" t="str">
        <x:v>0</x:v>
      </x:c>
      <x:c r="AE125" s="20" t="str">
        <x:v>0</x:v>
      </x:c>
    </x:row>
    <x:row r="126">
      <x:c r="A126" s="20" t="str">
        <x:v>coster2011_simple_english_wikipedia</x:v>
      </x:c>
      <x:c r="B126" s="20" t="str">
        <x:v>2011</x:v>
      </x:c>
      <x:c r="C126" s="20" t="str">
        <x:v>Simple English Wikipedia: A New Text Simplification Task</x:v>
      </x:c>
      <x:c r="D126" s="20" t="str">
        <x:v>02_Adjacent_Multilingual_TS</x:v>
      </x:c>
      <x:c r="E126" s="20" t="str">
        <x:v>0</x:v>
      </x:c>
      <x:c r="F126" s="20" t="str">
        <x:v>0</x:v>
      </x:c>
      <x:c r="G126" s="20" t="str">
        <x:v>0</x:v>
      </x:c>
      <x:c r="H126" s="20" t="str">
        <x:v>0</x:v>
      </x:c>
      <x:c r="I126" s="20" t="str">
        <x:v>0</x:v>
      </x:c>
      <x:c r="J126" s="20" t="str">
        <x:v>0</x:v>
      </x:c>
      <x:c r="K126" s="20" t="str">
        <x:v>0</x:v>
      </x:c>
      <x:c r="L126" s="20" t="str">
        <x:v>0</x:v>
      </x:c>
      <x:c r="M126" s="20" t="str">
        <x:v>0</x:v>
      </x:c>
      <x:c r="N126" s="20" t="str">
        <x:v>0</x:v>
      </x:c>
      <x:c r="O126" s="20" t="str">
        <x:v>0</x:v>
      </x:c>
      <x:c r="P126" s="20" t="str">
        <x:v>0</x:v>
      </x:c>
      <x:c r="Q126" s="20" t="str">
        <x:v>0</x:v>
      </x:c>
      <x:c r="R126" s="20" t="str">
        <x:v>0</x:v>
      </x:c>
      <x:c r="S126" s="20" t="str">
        <x:v>0</x:v>
      </x:c>
      <x:c r="T126" s="20" t="str">
        <x:v>0</x:v>
      </x:c>
      <x:c r="U126" s="20" t="str">
        <x:v>0</x:v>
      </x:c>
      <x:c r="V126" s="20" t="str">
        <x:v>0</x:v>
      </x:c>
      <x:c r="W126" s="20" t="str">
        <x:v>1</x:v>
      </x:c>
      <x:c r="X126" s="20" t="str">
        <x:v>0</x:v>
      </x:c>
      <x:c r="Y126" s="20" t="str">
        <x:v>0</x:v>
      </x:c>
      <x:c r="Z126" s="20" t="str">
        <x:v>0</x:v>
      </x:c>
      <x:c r="AA126" s="20" t="str">
        <x:v>0</x:v>
      </x:c>
      <x:c r="AB126" s="20" t="str">
        <x:v>0</x:v>
      </x:c>
      <x:c r="AC126" s="20" t="str">
        <x:v>0</x:v>
      </x:c>
      <x:c r="AD126" s="20" t="str">
        <x:v>0</x:v>
      </x:c>
      <x:c r="AE126" s="20" t="str">
        <x:v>0</x:v>
      </x:c>
    </x:row>
    <x:row r="127">
      <x:c r="A127" s="20" t="str">
        <x:v>zhang2015_character_level_convolutional</x:v>
      </x:c>
      <x:c r="B127" s="20" t="str">
        <x:v>2015</x:v>
      </x:c>
      <x:c r="C127" s="20" t="str">
        <x:v>Character-level Convolutional Networks for Text Classification</x:v>
      </x:c>
      <x:c r="D127" s="20" t="str">
        <x:v>02_Adjacent_Multilingual_TS</x:v>
      </x:c>
      <x:c r="E127" s="20" t="str">
        <x:v>0</x:v>
      </x:c>
      <x:c r="F127" s="20" t="str">
        <x:v>0</x:v>
      </x:c>
      <x:c r="G127" s="20" t="str">
        <x:v>0</x:v>
      </x:c>
      <x:c r="H127" s="20" t="str">
        <x:v>0</x:v>
      </x:c>
      <x:c r="I127" s="20" t="str">
        <x:v>0</x:v>
      </x:c>
      <x:c r="J127" s="20" t="str">
        <x:v>0</x:v>
      </x:c>
      <x:c r="K127" s="20" t="str">
        <x:v>0</x:v>
      </x:c>
      <x:c r="L127" s="20" t="str">
        <x:v>0</x:v>
      </x:c>
      <x:c r="M127" s="20" t="str">
        <x:v>0</x:v>
      </x:c>
      <x:c r="N127" s="20" t="str">
        <x:v>0</x:v>
      </x:c>
      <x:c r="O127" s="20" t="str">
        <x:v>0</x:v>
      </x:c>
      <x:c r="P127" s="20" t="str">
        <x:v>0</x:v>
      </x:c>
      <x:c r="Q127" s="20" t="str">
        <x:v>0</x:v>
      </x:c>
      <x:c r="R127" s="20" t="str">
        <x:v>0</x:v>
      </x:c>
      <x:c r="S127" s="20" t="str">
        <x:v>0</x:v>
      </x:c>
      <x:c r="T127" s="20" t="str">
        <x:v>0</x:v>
      </x:c>
      <x:c r="U127" s="20" t="str">
        <x:v>0</x:v>
      </x:c>
      <x:c r="V127" s="20" t="str">
        <x:v>0</x:v>
      </x:c>
      <x:c r="W127" s="20" t="str">
        <x:v>1</x:v>
      </x:c>
      <x:c r="X127" s="20" t="str">
        <x:v>0</x:v>
      </x:c>
      <x:c r="Y127" s="20" t="str">
        <x:v>0</x:v>
      </x:c>
      <x:c r="Z127" s="20" t="str">
        <x:v>0</x:v>
      </x:c>
      <x:c r="AA127" s="20" t="str">
        <x:v>0</x:v>
      </x:c>
      <x:c r="AB127" s="20" t="str">
        <x:v>0</x:v>
      </x:c>
      <x:c r="AC127" s="20" t="str">
        <x:v>0</x:v>
      </x:c>
      <x:c r="AD127" s="20" t="str">
        <x:v>0</x:v>
      </x:c>
      <x:c r="AE127" s="20" t="str">
        <x:v>0</x:v>
      </x:c>
    </x:row>
    <x:row r="128">
      <x:c r="A128" s="20" t="str">
        <x:v>zhao2018_integrating_transformer_paraphrase</x:v>
      </x:c>
      <x:c r="B128" s="20" t="str">
        <x:v>2018</x:v>
      </x:c>
      <x:c r="C128" s="20" t="str">
        <x:v>Integrating Transformer and Paraphrase Rules for Sentence Simplification</x:v>
      </x:c>
      <x:c r="D128" s="20" t="str">
        <x:v>02_Adjacent_Multilingual_TS</x:v>
      </x:c>
      <x:c r="E128" s="20" t="str">
        <x:v>0</x:v>
      </x:c>
      <x:c r="F128" s="20" t="str">
        <x:v>0</x:v>
      </x:c>
      <x:c r="G128" s="20" t="str">
        <x:v>0</x:v>
      </x:c>
      <x:c r="H128" s="20" t="str">
        <x:v>0</x:v>
      </x:c>
      <x:c r="I128" s="20" t="str">
        <x:v>0</x:v>
      </x:c>
      <x:c r="J128" s="20" t="str">
        <x:v>0</x:v>
      </x:c>
      <x:c r="K128" s="20" t="str">
        <x:v>0</x:v>
      </x:c>
      <x:c r="L128" s="20" t="str">
        <x:v>0</x:v>
      </x:c>
      <x:c r="M128" s="20" t="str">
        <x:v>0</x:v>
      </x:c>
      <x:c r="N128" s="20" t="str">
        <x:v>0</x:v>
      </x:c>
      <x:c r="O128" s="20" t="str">
        <x:v>0</x:v>
      </x:c>
      <x:c r="P128" s="20" t="str">
        <x:v>0</x:v>
      </x:c>
      <x:c r="Q128" s="20" t="str">
        <x:v>0</x:v>
      </x:c>
      <x:c r="R128" s="20" t="str">
        <x:v>0</x:v>
      </x:c>
      <x:c r="S128" s="20" t="str">
        <x:v>0</x:v>
      </x:c>
      <x:c r="T128" s="20" t="str">
        <x:v>0</x:v>
      </x:c>
      <x:c r="U128" s="20" t="str">
        <x:v>0</x:v>
      </x:c>
      <x:c r="V128" s="20" t="str">
        <x:v>0</x:v>
      </x:c>
      <x:c r="W128" s="20" t="str">
        <x:v>1</x:v>
      </x:c>
      <x:c r="X128" s="20" t="str">
        <x:v>0</x:v>
      </x:c>
      <x:c r="Y128" s="20" t="str">
        <x:v>0</x:v>
      </x:c>
      <x:c r="Z128" s="20" t="str">
        <x:v>0</x:v>
      </x:c>
      <x:c r="AA128" s="20" t="str">
        <x:v>0</x:v>
      </x:c>
      <x:c r="AB128" s="20" t="str">
        <x:v>0</x:v>
      </x:c>
      <x:c r="AC128" s="20" t="str">
        <x:v>0</x:v>
      </x:c>
      <x:c r="AD128" s="20" t="str">
        <x:v>0</x:v>
      </x:c>
      <x:c r="AE128" s="20" t="str">
        <x:v>0</x:v>
      </x:c>
    </x:row>
    <x:row r="129">
      <x:c r="A129" s="20" t="str">
        <x:v>kriz2019_simplification_paraphrases_context</x:v>
      </x:c>
      <x:c r="B129" s="20" t="str">
        <x:v>2019</x:v>
      </x:c>
      <x:c r="C129" s="20" t="str">
        <x:v>Simplification Using Paraphrases and Context-based Lexical Substitution</x:v>
      </x:c>
      <x:c r="D129" s="20" t="str">
        <x:v>02_Adjacent_Multilingual_TS</x:v>
      </x:c>
      <x:c r="E129" s="20" t="str">
        <x:v>0</x:v>
      </x:c>
      <x:c r="F129" s="20" t="str">
        <x:v>0</x:v>
      </x:c>
      <x:c r="G129" s="20" t="str">
        <x:v>0</x:v>
      </x:c>
      <x:c r="H129" s="20" t="str">
        <x:v>0</x:v>
      </x:c>
      <x:c r="I129" s="20" t="str">
        <x:v>0</x:v>
      </x:c>
      <x:c r="J129" s="20" t="str">
        <x:v>0</x:v>
      </x:c>
      <x:c r="K129" s="20" t="str">
        <x:v>0</x:v>
      </x:c>
      <x:c r="L129" s="20" t="str">
        <x:v>0</x:v>
      </x:c>
      <x:c r="M129" s="20" t="str">
        <x:v>0</x:v>
      </x:c>
      <x:c r="N129" s="20" t="str">
        <x:v>0</x:v>
      </x:c>
      <x:c r="O129" s="20" t="str">
        <x:v>0</x:v>
      </x:c>
      <x:c r="P129" s="20" t="str">
        <x:v>0</x:v>
      </x:c>
      <x:c r="Q129" s="20" t="str">
        <x:v>0</x:v>
      </x:c>
      <x:c r="R129" s="20" t="str">
        <x:v>0</x:v>
      </x:c>
      <x:c r="S129" s="20" t="str">
        <x:v>1</x:v>
      </x:c>
      <x:c r="T129" s="20" t="str">
        <x:v>0</x:v>
      </x:c>
      <x:c r="U129" s="20" t="str">
        <x:v>0</x:v>
      </x:c>
      <x:c r="V129" s="20" t="str">
        <x:v>0</x:v>
      </x:c>
      <x:c r="W129" s="20" t="str">
        <x:v>0</x:v>
      </x:c>
      <x:c r="X129" s="20" t="str">
        <x:v>0</x:v>
      </x:c>
      <x:c r="Y129" s="20" t="str">
        <x:v>0</x:v>
      </x:c>
      <x:c r="Z129" s="20" t="str">
        <x:v>0</x:v>
      </x:c>
      <x:c r="AA129" s="20" t="str">
        <x:v>0</x:v>
      </x:c>
      <x:c r="AB129" s="20" t="str">
        <x:v>0</x:v>
      </x:c>
      <x:c r="AC129" s="20" t="str">
        <x:v>0</x:v>
      </x:c>
      <x:c r="AD129" s="20" t="str">
        <x:v>0</x:v>
      </x:c>
      <x:c r="AE129" s="20" t="str">
        <x:v>0</x:v>
      </x:c>
    </x:row>
    <x:row r="130">
      <x:c r="A130" s="20" t="str">
        <x:v>lin2004_rouge_package_evaluation</x:v>
      </x:c>
      <x:c r="B130" s="20" t="str">
        <x:v>2004</x:v>
      </x:c>
      <x:c r="C130" s="20" t="str">
        <x:v>ROUGE: A Package for Automatic Evaluation of Summaries</x:v>
      </x:c>
      <x:c r="D130" s="20" t="str">
        <x:v>07_Evaluation_Methods</x:v>
      </x:c>
      <x:c r="E130" s="20" t="str">
        <x:v>0</x:v>
      </x:c>
      <x:c r="F130" s="20" t="str">
        <x:v>0</x:v>
      </x:c>
      <x:c r="G130" s="20" t="str">
        <x:v>0</x:v>
      </x:c>
      <x:c r="H130" s="20" t="str">
        <x:v>0</x:v>
      </x:c>
      <x:c r="I130" s="20" t="str">
        <x:v>0</x:v>
      </x:c>
      <x:c r="J130" s="20" t="str">
        <x:v>0</x:v>
      </x:c>
      <x:c r="K130" s="20" t="str">
        <x:v>0</x:v>
      </x:c>
      <x:c r="L130" s="20" t="str">
        <x:v>0</x:v>
      </x:c>
      <x:c r="M130" s="20" t="str">
        <x:v>0</x:v>
      </x:c>
      <x:c r="N130" s="20" t="str">
        <x:v>0</x:v>
      </x:c>
      <x:c r="O130" s="20" t="str">
        <x:v>0</x:v>
      </x:c>
      <x:c r="P130" s="20" t="str">
        <x:v>0</x:v>
      </x:c>
      <x:c r="Q130" s="20" t="str">
        <x:v>0</x:v>
      </x:c>
      <x:c r="R130" s="20" t="str">
        <x:v>0</x:v>
      </x:c>
      <x:c r="S130" s="20" t="str">
        <x:v>0</x:v>
      </x:c>
      <x:c r="T130" s="20" t="str">
        <x:v>0</x:v>
      </x:c>
      <x:c r="U130" s="20" t="str">
        <x:v>0</x:v>
      </x:c>
      <x:c r="V130" s="20" t="str">
        <x:v>0</x:v>
      </x:c>
      <x:c r="W130" s="20" t="str">
        <x:v>1</x:v>
      </x:c>
      <x:c r="X130" s="20" t="str">
        <x:v>0</x:v>
      </x:c>
      <x:c r="Y130" s="20" t="str">
        <x:v>0</x:v>
      </x:c>
      <x:c r="Z130" s="20" t="str">
        <x:v>0</x:v>
      </x:c>
      <x:c r="AA130" s="20" t="str">
        <x:v>0</x:v>
      </x:c>
      <x:c r="AB130" s="20" t="str">
        <x:v>0</x:v>
      </x:c>
      <x:c r="AC130" s="20" t="str">
        <x:v>0</x:v>
      </x:c>
      <x:c r="AD130" s="20" t="str">
        <x:v>0</x:v>
      </x:c>
      <x:c r="AE130" s="20" t="str">
        <x:v>0</x:v>
      </x:c>
    </x:row>
    <x:row r="131">
      <x:c r="A131" s="20" t="str">
        <x:v>papineni2002_bleu_evaluation_machine</x:v>
      </x:c>
      <x:c r="B131" s="20" t="str">
        <x:v>2002</x:v>
      </x:c>
      <x:c r="C131" s="20" t="str">
        <x:v>BLEU: A Method for Automatic Evaluation of Machine Translation</x:v>
      </x:c>
      <x:c r="D131" s="20" t="str">
        <x:v>07_Evaluation_Methods</x:v>
      </x:c>
      <x:c r="E131" s="20" t="str">
        <x:v>0</x:v>
      </x:c>
      <x:c r="F131" s="20" t="str">
        <x:v>0</x:v>
      </x:c>
      <x:c r="G131" s="20" t="str">
        <x:v>0</x:v>
      </x:c>
      <x:c r="H131" s="20" t="str">
        <x:v>0</x:v>
      </x:c>
      <x:c r="I131" s="20" t="str">
        <x:v>0</x:v>
      </x:c>
      <x:c r="J131" s="20" t="str">
        <x:v>0</x:v>
      </x:c>
      <x:c r="K131" s="20" t="str">
        <x:v>0</x:v>
      </x:c>
      <x:c r="L131" s="20" t="str">
        <x:v>0</x:v>
      </x:c>
      <x:c r="M131" s="20" t="str">
        <x:v>0</x:v>
      </x:c>
      <x:c r="N131" s="20" t="str">
        <x:v>0</x:v>
      </x:c>
      <x:c r="O131" s="20" t="str">
        <x:v>0</x:v>
      </x:c>
      <x:c r="P131" s="20" t="str">
        <x:v>0</x:v>
      </x:c>
      <x:c r="Q131" s="20" t="str">
        <x:v>0</x:v>
      </x:c>
      <x:c r="R131" s="20" t="str">
        <x:v>0</x:v>
      </x:c>
      <x:c r="S131" s="20" t="str">
        <x:v>0</x:v>
      </x:c>
      <x:c r="T131" s="20" t="str">
        <x:v>0</x:v>
      </x:c>
      <x:c r="U131" s="20" t="str">
        <x:v>0</x:v>
      </x:c>
      <x:c r="V131" s="20" t="str">
        <x:v>0</x:v>
      </x:c>
      <x:c r="W131" s="20" t="str">
        <x:v>1</x:v>
      </x:c>
      <x:c r="X131" s="20" t="str">
        <x:v>0</x:v>
      </x:c>
      <x:c r="Y131" s="20" t="str">
        <x:v>0</x:v>
      </x:c>
      <x:c r="Z131" s="20" t="str">
        <x:v>0</x:v>
      </x:c>
      <x:c r="AA131" s="20" t="str">
        <x:v>0</x:v>
      </x:c>
      <x:c r="AB131" s="20" t="str">
        <x:v>0</x:v>
      </x:c>
      <x:c r="AC131" s="20" t="str">
        <x:v>0</x:v>
      </x:c>
      <x:c r="AD131" s="20" t="str">
        <x:v>0</x:v>
      </x:c>
      <x:c r="AE131" s="20" t="str">
        <x:v>0</x:v>
      </x:c>
    </x:row>
    <x:row r="132">
      <x:c r="A132" s="20" t="str">
        <x:v>banerjee2005_meteor_metric_mt</x:v>
      </x:c>
      <x:c r="B132" s="20" t="str">
        <x:v>2005</x:v>
      </x:c>
      <x:c r="C132" s="20" t="str">
        <x:v>METEOR: An Automatic Metric for MT Evaluation with Improved Correlation with Human Judgments</x:v>
      </x:c>
      <x:c r="D132" s="20" t="str">
        <x:v>07_Evaluation_Methods</x:v>
      </x:c>
      <x:c r="E132" s="20" t="str">
        <x:v>0</x:v>
      </x:c>
      <x:c r="F132" s="20" t="str">
        <x:v>0</x:v>
      </x:c>
      <x:c r="G132" s="20" t="str">
        <x:v>0</x:v>
      </x:c>
      <x:c r="H132" s="20" t="str">
        <x:v>0</x:v>
      </x:c>
      <x:c r="I132" s="20" t="str">
        <x:v>0</x:v>
      </x:c>
      <x:c r="J132" s="20" t="str">
        <x:v>0</x:v>
      </x:c>
      <x:c r="K132" s="20" t="str">
        <x:v>0</x:v>
      </x:c>
      <x:c r="L132" s="20" t="str">
        <x:v>0</x:v>
      </x:c>
      <x:c r="M132" s="20" t="str">
        <x:v>0</x:v>
      </x:c>
      <x:c r="N132" s="20" t="str">
        <x:v>0</x:v>
      </x:c>
      <x:c r="O132" s="20" t="str">
        <x:v>0</x:v>
      </x:c>
      <x:c r="P132" s="20" t="str">
        <x:v>0</x:v>
      </x:c>
      <x:c r="Q132" s="20" t="str">
        <x:v>0</x:v>
      </x:c>
      <x:c r="R132" s="20" t="str">
        <x:v>0</x:v>
      </x:c>
      <x:c r="S132" s="20" t="str">
        <x:v>0</x:v>
      </x:c>
      <x:c r="T132" s="20" t="str">
        <x:v>0</x:v>
      </x:c>
      <x:c r="U132" s="20" t="str">
        <x:v>0</x:v>
      </x:c>
      <x:c r="V132" s="20" t="str">
        <x:v>0</x:v>
      </x:c>
      <x:c r="W132" s="20" t="str">
        <x:v>1</x:v>
      </x:c>
      <x:c r="X132" s="20" t="str">
        <x:v>0</x:v>
      </x:c>
      <x:c r="Y132" s="20" t="str">
        <x:v>0</x:v>
      </x:c>
      <x:c r="Z132" s="20" t="str">
        <x:v>0</x:v>
      </x:c>
      <x:c r="AA132" s="20" t="str">
        <x:v>0</x:v>
      </x:c>
      <x:c r="AB132" s="20" t="str">
        <x:v>0</x:v>
      </x:c>
      <x:c r="AC132" s="20" t="str">
        <x:v>0</x:v>
      </x:c>
      <x:c r="AD132" s="20" t="str">
        <x:v>0</x:v>
      </x:c>
      <x:c r="AE132" s="20" t="str">
        <x:v>0</x:v>
      </x:c>
    </x:row>
    <x:row r="133">
      <x:c r="A133" s="20" t="str">
        <x:v>zhang2020_bertscore_evaluating_text</x:v>
      </x:c>
      <x:c r="B133" s="20" t="str">
        <x:v>2020</x:v>
      </x:c>
      <x:c r="C133" s="20" t="str">
        <x:v>BERTScore: Evaluating Text Generation with BERT</x:v>
      </x:c>
      <x:c r="D133" s="20" t="str">
        <x:v>07_Evaluation_Methods</x:v>
      </x:c>
      <x:c r="E133" s="20" t="str">
        <x:v>0</x:v>
      </x:c>
      <x:c r="F133" s="20" t="str">
        <x:v>0</x:v>
      </x:c>
      <x:c r="G133" s="20" t="str">
        <x:v>0</x:v>
      </x:c>
      <x:c r="H133" s="20" t="str">
        <x:v>0</x:v>
      </x:c>
      <x:c r="I133" s="20" t="str">
        <x:v>0</x:v>
      </x:c>
      <x:c r="J133" s="20" t="str">
        <x:v>0</x:v>
      </x:c>
      <x:c r="K133" s="20" t="str">
        <x:v>0</x:v>
      </x:c>
      <x:c r="L133" s="20" t="str">
        <x:v>0</x:v>
      </x:c>
      <x:c r="M133" s="20" t="str">
        <x:v>0</x:v>
      </x:c>
      <x:c r="N133" s="20" t="str">
        <x:v>0</x:v>
      </x:c>
      <x:c r="O133" s="20" t="str">
        <x:v>0</x:v>
      </x:c>
      <x:c r="P133" s="20" t="str">
        <x:v>0</x:v>
      </x:c>
      <x:c r="Q133" s="20" t="str">
        <x:v>0</x:v>
      </x:c>
      <x:c r="R133" s="20" t="str">
        <x:v>0</x:v>
      </x:c>
      <x:c r="S133" s="20" t="str">
        <x:v>0</x:v>
      </x:c>
      <x:c r="T133" s="20" t="str">
        <x:v>0</x:v>
      </x:c>
      <x:c r="U133" s="20" t="str">
        <x:v>0</x:v>
      </x:c>
      <x:c r="V133" s="20" t="str">
        <x:v>0</x:v>
      </x:c>
      <x:c r="W133" s="20" t="str">
        <x:v>0</x:v>
      </x:c>
      <x:c r="X133" s="20" t="str">
        <x:v>0</x:v>
      </x:c>
      <x:c r="Y133" s="20" t="str">
        <x:v>0</x:v>
      </x:c>
      <x:c r="Z133" s="20" t="str">
        <x:v>0</x:v>
      </x:c>
      <x:c r="AA133" s="20" t="str">
        <x:v>0</x:v>
      </x:c>
      <x:c r="AB133" s="20" t="str">
        <x:v>0</x:v>
      </x:c>
      <x:c r="AC133" s="20" t="str">
        <x:v>0</x:v>
      </x:c>
      <x:c r="AD133" s="20" t="str">
        <x:v>1</x:v>
      </x:c>
      <x:c r="AE133" s="20" t="str">
        <x:v>0</x:v>
      </x:c>
    </x:row>
    <x:row r="134">
      <x:c r="A134" s="20" t="str">
        <x:v>sellam2020_bleurt_learning_robust</x:v>
      </x:c>
      <x:c r="B134" s="20" t="str">
        <x:v>2020</x:v>
      </x:c>
      <x:c r="C134" s="20" t="str">
        <x:v>BLEURT: Learning Robust Metrics for Text Generation</x:v>
      </x:c>
      <x:c r="D134" s="20" t="str">
        <x:v>07_Evaluation_Methods</x:v>
      </x:c>
      <x:c r="E134" s="20" t="str">
        <x:v>0</x:v>
      </x:c>
      <x:c r="F134" s="20" t="str">
        <x:v>0</x:v>
      </x:c>
      <x:c r="G134" s="20" t="str">
        <x:v>0</x:v>
      </x:c>
      <x:c r="H134" s="20" t="str">
        <x:v>0</x:v>
      </x:c>
      <x:c r="I134" s="20" t="str">
        <x:v>0</x:v>
      </x:c>
      <x:c r="J134" s="20" t="str">
        <x:v>0</x:v>
      </x:c>
      <x:c r="K134" s="20" t="str">
        <x:v>0</x:v>
      </x:c>
      <x:c r="L134" s="20" t="str">
        <x:v>0</x:v>
      </x:c>
      <x:c r="M134" s="20" t="str">
        <x:v>0</x:v>
      </x:c>
      <x:c r="N134" s="20" t="str">
        <x:v>0</x:v>
      </x:c>
      <x:c r="O134" s="20" t="str">
        <x:v>0</x:v>
      </x:c>
      <x:c r="P134" s="20" t="str">
        <x:v>0</x:v>
      </x:c>
      <x:c r="Q134" s="20" t="str">
        <x:v>0</x:v>
      </x:c>
      <x:c r="R134" s="20" t="str">
        <x:v>0</x:v>
      </x:c>
      <x:c r="S134" s="20" t="str">
        <x:v>0</x:v>
      </x:c>
      <x:c r="T134" s="20" t="str">
        <x:v>0</x:v>
      </x:c>
      <x:c r="U134" s="20" t="str">
        <x:v>0</x:v>
      </x:c>
      <x:c r="V134" s="20" t="str">
        <x:v>0</x:v>
      </x:c>
      <x:c r="W134" s="20" t="str">
        <x:v>0</x:v>
      </x:c>
      <x:c r="X134" s="20" t="str">
        <x:v>0</x:v>
      </x:c>
      <x:c r="Y134" s="20" t="str">
        <x:v>0</x:v>
      </x:c>
      <x:c r="Z134" s="20" t="str">
        <x:v>0</x:v>
      </x:c>
      <x:c r="AA134" s="20" t="str">
        <x:v>0</x:v>
      </x:c>
      <x:c r="AB134" s="20" t="str">
        <x:v>0</x:v>
      </x:c>
      <x:c r="AC134" s="20" t="str">
        <x:v>0</x:v>
      </x:c>
      <x:c r="AD134" s="20" t="str">
        <x:v>1</x:v>
      </x:c>
      <x:c r="AE134" s="20" t="str">
        <x:v>0</x:v>
      </x:c>
    </x:row>
    <x:row r="135">
      <x:c r="A135" s="20" t="str">
        <x:v>rei2020_comet_neural_framework</x:v>
      </x:c>
      <x:c r="B135" s="20" t="str">
        <x:v>2020</x:v>
      </x:c>
      <x:c r="C135" s="20" t="str">
        <x:v>COMET: A Neural Framework for MT Evaluation</x:v>
      </x:c>
      <x:c r="D135" s="20" t="str">
        <x:v>07_Evaluation_Methods</x:v>
      </x:c>
      <x:c r="E135" s="20" t="str">
        <x:v>0</x:v>
      </x:c>
      <x:c r="F135" s="20" t="str">
        <x:v>0</x:v>
      </x:c>
      <x:c r="G135" s="20" t="str">
        <x:v>0</x:v>
      </x:c>
      <x:c r="H135" s="20" t="str">
        <x:v>0</x:v>
      </x:c>
      <x:c r="I135" s="20" t="str">
        <x:v>0</x:v>
      </x:c>
      <x:c r="J135" s="20" t="str">
        <x:v>0</x:v>
      </x:c>
      <x:c r="K135" s="20" t="str">
        <x:v>0</x:v>
      </x:c>
      <x:c r="L135" s="20" t="str">
        <x:v>0</x:v>
      </x:c>
      <x:c r="M135" s="20" t="str">
        <x:v>0</x:v>
      </x:c>
      <x:c r="N135" s="20" t="str">
        <x:v>0</x:v>
      </x:c>
      <x:c r="O135" s="20" t="str">
        <x:v>0</x:v>
      </x:c>
      <x:c r="P135" s="20" t="str">
        <x:v>0</x:v>
      </x:c>
      <x:c r="Q135" s="20" t="str">
        <x:v>0</x:v>
      </x:c>
      <x:c r="R135" s="20" t="str">
        <x:v>0</x:v>
      </x:c>
      <x:c r="S135" s="20" t="str">
        <x:v>0</x:v>
      </x:c>
      <x:c r="T135" s="20" t="str">
        <x:v>0</x:v>
      </x:c>
      <x:c r="U135" s="20" t="str">
        <x:v>0</x:v>
      </x:c>
      <x:c r="V135" s="20" t="str">
        <x:v>0</x:v>
      </x:c>
      <x:c r="W135" s="20" t="str">
        <x:v>0</x:v>
      </x:c>
      <x:c r="X135" s="20" t="str">
        <x:v>0</x:v>
      </x:c>
      <x:c r="Y135" s="20" t="str">
        <x:v>0</x:v>
      </x:c>
      <x:c r="Z135" s="20" t="str">
        <x:v>0</x:v>
      </x:c>
      <x:c r="AA135" s="20" t="str">
        <x:v>0</x:v>
      </x:c>
      <x:c r="AB135" s="20" t="str">
        <x:v>0</x:v>
      </x:c>
      <x:c r="AC135" s="20" t="str">
        <x:v>0</x:v>
      </x:c>
      <x:c r="AD135" s="20" t="str">
        <x:v>1</x:v>
      </x:c>
      <x:c r="AE135" s="20" t="str">
        <x:v>0</x:v>
      </x:c>
    </x:row>
    <x:row r="136">
      <x:c r="A136" s="20" t="str">
        <x:v>landis1977_measurement_observer_agreement</x:v>
      </x:c>
      <x:c r="B136" s="20" t="str">
        <x:v>1977</x:v>
      </x:c>
      <x:c r="C136" s="20" t="str">
        <x:v>The Measurement of Observer Agreement for Categorical Data</x:v>
      </x:c>
      <x:c r="D136" s="20" t="str">
        <x:v>07_Evaluation_Methods</x:v>
      </x:c>
      <x:c r="E136" s="20" t="str">
        <x:v>0</x:v>
      </x:c>
      <x:c r="F136" s="20" t="str">
        <x:v>0</x:v>
      </x:c>
      <x:c r="G136" s="20" t="str">
        <x:v>0</x:v>
      </x:c>
      <x:c r="H136" s="20" t="str">
        <x:v>0</x:v>
      </x:c>
      <x:c r="I136" s="20" t="str">
        <x:v>0</x:v>
      </x:c>
      <x:c r="J136" s="20" t="str">
        <x:v>0</x:v>
      </x:c>
      <x:c r="K136" s="20" t="str">
        <x:v>0</x:v>
      </x:c>
      <x:c r="L136" s="20" t="str">
        <x:v>0</x:v>
      </x:c>
      <x:c r="M136" s="20" t="str">
        <x:v>0</x:v>
      </x:c>
      <x:c r="N136" s="20" t="str">
        <x:v>0</x:v>
      </x:c>
      <x:c r="O136" s="20" t="str">
        <x:v>0</x:v>
      </x:c>
      <x:c r="P136" s="20" t="str">
        <x:v>0</x:v>
      </x:c>
      <x:c r="Q136" s="20" t="str">
        <x:v>0</x:v>
      </x:c>
      <x:c r="R136" s="20" t="str">
        <x:v>0</x:v>
      </x:c>
      <x:c r="S136" s="20" t="str">
        <x:v>0</x:v>
      </x:c>
      <x:c r="T136" s="20" t="str">
        <x:v>0</x:v>
      </x:c>
      <x:c r="U136" s="20" t="str">
        <x:v>0</x:v>
      </x:c>
      <x:c r="V136" s="20" t="str">
        <x:v>0</x:v>
      </x:c>
      <x:c r="W136" s="20" t="str">
        <x:v>1</x:v>
      </x:c>
      <x:c r="X136" s="20" t="str">
        <x:v>0</x:v>
      </x:c>
      <x:c r="Y136" s="20" t="str">
        <x:v>0</x:v>
      </x:c>
      <x:c r="Z136" s="20" t="str">
        <x:v>0</x:v>
      </x:c>
      <x:c r="AA136" s="20" t="str">
        <x:v>0</x:v>
      </x:c>
      <x:c r="AB136" s="20" t="str">
        <x:v>0</x:v>
      </x:c>
      <x:c r="AC136" s="20" t="str">
        <x:v>0</x:v>
      </x:c>
      <x:c r="AD136" s="20" t="str">
        <x:v>0</x:v>
      </x:c>
      <x:c r="AE136" s="20" t="str">
        <x:v>0</x:v>
      </x:c>
    </x:row>
    <x:row r="137">
      <x:c r="A137" s="20" t="str">
        <x:v>fleiss1971_measuring_nominal_agreement</x:v>
      </x:c>
      <x:c r="B137" s="20" t="str">
        <x:v>1971</x:v>
      </x:c>
      <x:c r="C137" s="20" t="str">
        <x:v>Measuring Nominal Scale Agreement among Many Raters</x:v>
      </x:c>
      <x:c r="D137" s="20" t="str">
        <x:v>07_Evaluation_Methods</x:v>
      </x:c>
      <x:c r="E137" s="20" t="str">
        <x:v>0</x:v>
      </x:c>
      <x:c r="F137" s="20" t="str">
        <x:v>0</x:v>
      </x:c>
      <x:c r="G137" s="20" t="str">
        <x:v>0</x:v>
      </x:c>
      <x:c r="H137" s="20" t="str">
        <x:v>0</x:v>
      </x:c>
      <x:c r="I137" s="20" t="str">
        <x:v>0</x:v>
      </x:c>
      <x:c r="J137" s="20" t="str">
        <x:v>0</x:v>
      </x:c>
      <x:c r="K137" s="20" t="str">
        <x:v>0</x:v>
      </x:c>
      <x:c r="L137" s="20" t="str">
        <x:v>0</x:v>
      </x:c>
      <x:c r="M137" s="20" t="str">
        <x:v>0</x:v>
      </x:c>
      <x:c r="N137" s="20" t="str">
        <x:v>0</x:v>
      </x:c>
      <x:c r="O137" s="20" t="str">
        <x:v>0</x:v>
      </x:c>
      <x:c r="P137" s="20" t="str">
        <x:v>0</x:v>
      </x:c>
      <x:c r="Q137" s="20" t="str">
        <x:v>0</x:v>
      </x:c>
      <x:c r="R137" s="20" t="str">
        <x:v>0</x:v>
      </x:c>
      <x:c r="S137" s="20" t="str">
        <x:v>0</x:v>
      </x:c>
      <x:c r="T137" s="20" t="str">
        <x:v>0</x:v>
      </x:c>
      <x:c r="U137" s="20" t="str">
        <x:v>0</x:v>
      </x:c>
      <x:c r="V137" s="20" t="str">
        <x:v>0</x:v>
      </x:c>
      <x:c r="W137" s="20" t="str">
        <x:v>1</x:v>
      </x:c>
      <x:c r="X137" s="20" t="str">
        <x:v>0</x:v>
      </x:c>
      <x:c r="Y137" s="20" t="str">
        <x:v>0</x:v>
      </x:c>
      <x:c r="Z137" s="20" t="str">
        <x:v>0</x:v>
      </x:c>
      <x:c r="AA137" s="20" t="str">
        <x:v>0</x:v>
      </x:c>
      <x:c r="AB137" s="20" t="str">
        <x:v>0</x:v>
      </x:c>
      <x:c r="AC137" s="20" t="str">
        <x:v>0</x:v>
      </x:c>
      <x:c r="AD137" s="20" t="str">
        <x:v>0</x:v>
      </x:c>
      <x:c r="AE137" s="20" t="str">
        <x:v>0</x:v>
      </x:c>
    </x:row>
    <x:row r="138">
      <x:c r="A138" s="20" t="str">
        <x:v>cohen1960_coefficient_agreement_nominal</x:v>
      </x:c>
      <x:c r="B138" s="20" t="str">
        <x:v>1960</x:v>
      </x:c>
      <x:c r="C138" s="20" t="str">
        <x:v>A Coefficient of Agreement for Nominal Scales</x:v>
      </x:c>
      <x:c r="D138" s="20" t="str">
        <x:v>07_Evaluation_Methods</x:v>
      </x:c>
      <x:c r="E138" s="20" t="str">
        <x:v>0</x:v>
      </x:c>
      <x:c r="F138" s="20" t="str">
        <x:v>0</x:v>
      </x:c>
      <x:c r="G138" s="20" t="str">
        <x:v>0</x:v>
      </x:c>
      <x:c r="H138" s="20" t="str">
        <x:v>0</x:v>
      </x:c>
      <x:c r="I138" s="20" t="str">
        <x:v>0</x:v>
      </x:c>
      <x:c r="J138" s="20" t="str">
        <x:v>0</x:v>
      </x:c>
      <x:c r="K138" s="20" t="str">
        <x:v>0</x:v>
      </x:c>
      <x:c r="L138" s="20" t="str">
        <x:v>0</x:v>
      </x:c>
      <x:c r="M138" s="20" t="str">
        <x:v>0</x:v>
      </x:c>
      <x:c r="N138" s="20" t="str">
        <x:v>0</x:v>
      </x:c>
      <x:c r="O138" s="20" t="str">
        <x:v>0</x:v>
      </x:c>
      <x:c r="P138" s="20" t="str">
        <x:v>0</x:v>
      </x:c>
      <x:c r="Q138" s="20" t="str">
        <x:v>0</x:v>
      </x:c>
      <x:c r="R138" s="20" t="str">
        <x:v>0</x:v>
      </x:c>
      <x:c r="S138" s="20" t="str">
        <x:v>0</x:v>
      </x:c>
      <x:c r="T138" s="20" t="str">
        <x:v>0</x:v>
      </x:c>
      <x:c r="U138" s="20" t="str">
        <x:v>0</x:v>
      </x:c>
      <x:c r="V138" s="20" t="str">
        <x:v>0</x:v>
      </x:c>
      <x:c r="W138" s="20" t="str">
        <x:v>1</x:v>
      </x:c>
      <x:c r="X138" s="20" t="str">
        <x:v>0</x:v>
      </x:c>
      <x:c r="Y138" s="20" t="str">
        <x:v>0</x:v>
      </x:c>
      <x:c r="Z138" s="20" t="str">
        <x:v>0</x:v>
      </x:c>
      <x:c r="AA138" s="20" t="str">
        <x:v>0</x:v>
      </x:c>
      <x:c r="AB138" s="20" t="str">
        <x:v>0</x:v>
      </x:c>
      <x:c r="AC138" s="20" t="str">
        <x:v>0</x:v>
      </x:c>
      <x:c r="AD138" s="20" t="str">
        <x:v>0</x:v>
      </x:c>
      <x:c r="AE138" s="20" t="str">
        <x:v>0</x:v>
      </x:c>
    </x:row>
    <x:row r="139">
      <x:c r="A139" s="20" t="str">
        <x:v>krippendorff2011_computing_krippendorff_s</x:v>
      </x:c>
      <x:c r="B139" s="20" t="str">
        <x:v>2011</x:v>
      </x:c>
      <x:c r="C139" s="20" t="str">
        <x:v>Computing Krippendorff's Alpha-Reliability</x:v>
      </x:c>
      <x:c r="D139" s="20" t="str">
        <x:v>07_Evaluation_Methods</x:v>
      </x:c>
      <x:c r="E139" s="20" t="str">
        <x:v>0</x:v>
      </x:c>
      <x:c r="F139" s="20" t="str">
        <x:v>0</x:v>
      </x:c>
      <x:c r="G139" s="20" t="str">
        <x:v>0</x:v>
      </x:c>
      <x:c r="H139" s="20" t="str">
        <x:v>0</x:v>
      </x:c>
      <x:c r="I139" s="20" t="str">
        <x:v>0</x:v>
      </x:c>
      <x:c r="J139" s="20" t="str">
        <x:v>0</x:v>
      </x:c>
      <x:c r="K139" s="20" t="str">
        <x:v>0</x:v>
      </x:c>
      <x:c r="L139" s="20" t="str">
        <x:v>0</x:v>
      </x:c>
      <x:c r="M139" s="20" t="str">
        <x:v>0</x:v>
      </x:c>
      <x:c r="N139" s="20" t="str">
        <x:v>0</x:v>
      </x:c>
      <x:c r="O139" s="20" t="str">
        <x:v>0</x:v>
      </x:c>
      <x:c r="P139" s="20" t="str">
        <x:v>0</x:v>
      </x:c>
      <x:c r="Q139" s="20" t="str">
        <x:v>0</x:v>
      </x:c>
      <x:c r="R139" s="20" t="str">
        <x:v>0</x:v>
      </x:c>
      <x:c r="S139" s="20" t="str">
        <x:v>0</x:v>
      </x:c>
      <x:c r="T139" s="20" t="str">
        <x:v>0</x:v>
      </x:c>
      <x:c r="U139" s="20" t="str">
        <x:v>0</x:v>
      </x:c>
      <x:c r="V139" s="20" t="str">
        <x:v>0</x:v>
      </x:c>
      <x:c r="W139" s="20" t="str">
        <x:v>1</x:v>
      </x:c>
      <x:c r="X139" s="20" t="str">
        <x:v>0</x:v>
      </x:c>
      <x:c r="Y139" s="20" t="str">
        <x:v>0</x:v>
      </x:c>
      <x:c r="Z139" s="20" t="str">
        <x:v>0</x:v>
      </x:c>
      <x:c r="AA139" s="20" t="str">
        <x:v>0</x:v>
      </x:c>
      <x:c r="AB139" s="20" t="str">
        <x:v>0</x:v>
      </x:c>
      <x:c r="AC139" s="20" t="str">
        <x:v>0</x:v>
      </x:c>
      <x:c r="AD139" s="20" t="str">
        <x:v>0</x:v>
      </x:c>
      <x:c r="AE139" s="20" t="str">
        <x:v>0</x:v>
      </x:c>
    </x:row>
    <x:row r="140">
      <x:c r="A140" s="20" t="str">
        <x:v>belz2006_comparing_human_evaluation</x:v>
      </x:c>
      <x:c r="B140" s="20" t="str">
        <x:v>2006</x:v>
      </x:c>
      <x:c r="C140" s="20" t="str">
        <x:v>Comparing Automatic and Human Evaluation of NLG Systems</x:v>
      </x:c>
      <x:c r="D140" s="20" t="str">
        <x:v>07_Evaluation_Methods</x:v>
      </x:c>
      <x:c r="E140" s="20" t="str">
        <x:v>0</x:v>
      </x:c>
      <x:c r="F140" s="20" t="str">
        <x:v>0</x:v>
      </x:c>
      <x:c r="G140" s="20" t="str">
        <x:v>0</x:v>
      </x:c>
      <x:c r="H140" s="20" t="str">
        <x:v>0</x:v>
      </x:c>
      <x:c r="I140" s="20" t="str">
        <x:v>0</x:v>
      </x:c>
      <x:c r="J140" s="20" t="str">
        <x:v>0</x:v>
      </x:c>
      <x:c r="K140" s="20" t="str">
        <x:v>0</x:v>
      </x:c>
      <x:c r="L140" s="20" t="str">
        <x:v>0</x:v>
      </x:c>
      <x:c r="M140" s="20" t="str">
        <x:v>0</x:v>
      </x:c>
      <x:c r="N140" s="20" t="str">
        <x:v>0</x:v>
      </x:c>
      <x:c r="O140" s="20" t="str">
        <x:v>0</x:v>
      </x:c>
      <x:c r="P140" s="20" t="str">
        <x:v>0</x:v>
      </x:c>
      <x:c r="Q140" s="20" t="str">
        <x:v>0</x:v>
      </x:c>
      <x:c r="R140" s="20" t="str">
        <x:v>0</x:v>
      </x:c>
      <x:c r="S140" s="20" t="str">
        <x:v>0</x:v>
      </x:c>
      <x:c r="T140" s="20" t="str">
        <x:v>0</x:v>
      </x:c>
      <x:c r="U140" s="20" t="str">
        <x:v>0</x:v>
      </x:c>
      <x:c r="V140" s="20" t="str">
        <x:v>0</x:v>
      </x:c>
      <x:c r="W140" s="20" t="str">
        <x:v>1</x:v>
      </x:c>
      <x:c r="X140" s="20" t="str">
        <x:v>0</x:v>
      </x:c>
      <x:c r="Y140" s="20" t="str">
        <x:v>0</x:v>
      </x:c>
      <x:c r="Z140" s="20" t="str">
        <x:v>0</x:v>
      </x:c>
      <x:c r="AA140" s="20" t="str">
        <x:v>0</x:v>
      </x:c>
      <x:c r="AB140" s="20" t="str">
        <x:v>0</x:v>
      </x:c>
      <x:c r="AC140" s="20" t="str">
        <x:v>0</x:v>
      </x:c>
      <x:c r="AD140" s="20" t="str">
        <x:v>0</x:v>
      </x:c>
      <x:c r="AE140" s="20" t="str">
        <x:v>0</x:v>
      </x:c>
    </x:row>
    <x:row r="141">
      <x:c r="A141" s="20" t="str">
        <x:v>vanderlee2019_best_practices_human</x:v>
      </x:c>
      <x:c r="B141" s="20" t="str">
        <x:v>2019</x:v>
      </x:c>
      <x:c r="C141" s="20" t="str">
        <x:v>Best Practices for the Human Evaluation of Automatically Generated Text</x:v>
      </x:c>
      <x:c r="D141" s="20" t="str">
        <x:v>07_Evaluation_Methods</x:v>
      </x:c>
      <x:c r="E141" s="20" t="str">
        <x:v>0</x:v>
      </x:c>
      <x:c r="F141" s="20" t="str">
        <x:v>0</x:v>
      </x:c>
      <x:c r="G141" s="20" t="str">
        <x:v>0</x:v>
      </x:c>
      <x:c r="H141" s="20" t="str">
        <x:v>0</x:v>
      </x:c>
      <x:c r="I141" s="20" t="str">
        <x:v>0</x:v>
      </x:c>
      <x:c r="J141" s="20" t="str">
        <x:v>0</x:v>
      </x:c>
      <x:c r="K141" s="20" t="str">
        <x:v>0</x:v>
      </x:c>
      <x:c r="L141" s="20" t="str">
        <x:v>0</x:v>
      </x:c>
      <x:c r="M141" s="20" t="str">
        <x:v>0</x:v>
      </x:c>
      <x:c r="N141" s="20" t="str">
        <x:v>0</x:v>
      </x:c>
      <x:c r="O141" s="20" t="str">
        <x:v>0</x:v>
      </x:c>
      <x:c r="P141" s="20" t="str">
        <x:v>0</x:v>
      </x:c>
      <x:c r="Q141" s="20" t="str">
        <x:v>0</x:v>
      </x:c>
      <x:c r="R141" s="20" t="str">
        <x:v>0</x:v>
      </x:c>
      <x:c r="S141" s="20" t="str">
        <x:v>0</x:v>
      </x:c>
      <x:c r="T141" s="20" t="str">
        <x:v>0</x:v>
      </x:c>
      <x:c r="U141" s="20" t="str">
        <x:v>0</x:v>
      </x:c>
      <x:c r="V141" s="20" t="str">
        <x:v>0</x:v>
      </x:c>
      <x:c r="W141" s="20" t="str">
        <x:v>1</x:v>
      </x:c>
      <x:c r="X141" s="20" t="str">
        <x:v>0</x:v>
      </x:c>
      <x:c r="Y141" s="20" t="str">
        <x:v>0</x:v>
      </x:c>
      <x:c r="Z141" s="20" t="str">
        <x:v>0</x:v>
      </x:c>
      <x:c r="AA141" s="20" t="str">
        <x:v>0</x:v>
      </x:c>
      <x:c r="AB141" s="20" t="str">
        <x:v>0</x:v>
      </x:c>
      <x:c r="AC141" s="20" t="str">
        <x:v>0</x:v>
      </x:c>
      <x:c r="AD141" s="20" t="str">
        <x:v>0</x:v>
      </x:c>
      <x:c r="AE141" s="20" t="str">
        <x:v>0</x:v>
      </x:c>
    </x:row>
    <x:row r="142">
      <x:c r="A142" s="20" t="str">
        <x:v>howcroft2020_twenty_years_confusion</x:v>
      </x:c>
      <x:c r="B142" s="20" t="str">
        <x:v>2020</x:v>
      </x:c>
      <x:c r="C142" s="20" t="str">
        <x:v>Twenty Years of Confusion in Human Evaluation: NLG Needs Evaluation Sheets and Standardised Definitions</x:v>
      </x:c>
      <x:c r="D142" s="20" t="str">
        <x:v>07_Evaluation_Methods</x:v>
      </x:c>
      <x:c r="E142" s="20" t="str">
        <x:v>0</x:v>
      </x:c>
      <x:c r="F142" s="20" t="str">
        <x:v>0</x:v>
      </x:c>
      <x:c r="G142" s="20" t="str">
        <x:v>0</x:v>
      </x:c>
      <x:c r="H142" s="20" t="str">
        <x:v>0</x:v>
      </x:c>
      <x:c r="I142" s="20" t="str">
        <x:v>0</x:v>
      </x:c>
      <x:c r="J142" s="20" t="str">
        <x:v>0</x:v>
      </x:c>
      <x:c r="K142" s="20" t="str">
        <x:v>0</x:v>
      </x:c>
      <x:c r="L142" s="20" t="str">
        <x:v>0</x:v>
      </x:c>
      <x:c r="M142" s="20" t="str">
        <x:v>0</x:v>
      </x:c>
      <x:c r="N142" s="20" t="str">
        <x:v>0</x:v>
      </x:c>
      <x:c r="O142" s="20" t="str">
        <x:v>0</x:v>
      </x:c>
      <x:c r="P142" s="20" t="str">
        <x:v>0</x:v>
      </x:c>
      <x:c r="Q142" s="20" t="str">
        <x:v>0</x:v>
      </x:c>
      <x:c r="R142" s="20" t="str">
        <x:v>0</x:v>
      </x:c>
      <x:c r="S142" s="20" t="str">
        <x:v>0</x:v>
      </x:c>
      <x:c r="T142" s="20" t="str">
        <x:v>0</x:v>
      </x:c>
      <x:c r="U142" s="20" t="str">
        <x:v>0</x:v>
      </x:c>
      <x:c r="V142" s="20" t="str">
        <x:v>0</x:v>
      </x:c>
      <x:c r="W142" s="20" t="str">
        <x:v>1</x:v>
      </x:c>
      <x:c r="X142" s="20" t="str">
        <x:v>0</x:v>
      </x:c>
      <x:c r="Y142" s="20" t="str">
        <x:v>0</x:v>
      </x:c>
      <x:c r="Z142" s="20" t="str">
        <x:v>0</x:v>
      </x:c>
      <x:c r="AA142" s="20" t="str">
        <x:v>0</x:v>
      </x:c>
      <x:c r="AB142" s="20" t="str">
        <x:v>0</x:v>
      </x:c>
      <x:c r="AC142" s="20" t="str">
        <x:v>0</x:v>
      </x:c>
      <x:c r="AD142" s="20" t="str">
        <x:v>0</x:v>
      </x:c>
      <x:c r="AE142" s="20" t="str">
        <x:v>0</x:v>
      </x:c>
    </x:row>
    <x:row r="143">
      <x:c r="A143" s="20" t="str">
        <x:v>flesch1948_readability_yardstick</x:v>
      </x:c>
      <x:c r="B143" s="20" t="str">
        <x:v>1948</x:v>
      </x:c>
      <x:c r="C143" s="20" t="str">
        <x:v>A New Readability Yardstick</x:v>
      </x:c>
      <x:c r="D143" s="20" t="str">
        <x:v>07_Evaluation_Methods</x:v>
      </x:c>
      <x:c r="E143" s="20" t="str">
        <x:v>0</x:v>
      </x:c>
      <x:c r="F143" s="20" t="str">
        <x:v>0</x:v>
      </x:c>
      <x:c r="G143" s="20" t="str">
        <x:v>0</x:v>
      </x:c>
      <x:c r="H143" s="20" t="str">
        <x:v>0</x:v>
      </x:c>
      <x:c r="I143" s="20" t="str">
        <x:v>0</x:v>
      </x:c>
      <x:c r="J143" s="20" t="str">
        <x:v>0</x:v>
      </x:c>
      <x:c r="K143" s="20" t="str">
        <x:v>0</x:v>
      </x:c>
      <x:c r="L143" s="20" t="str">
        <x:v>0</x:v>
      </x:c>
      <x:c r="M143" s="20" t="str">
        <x:v>0</x:v>
      </x:c>
      <x:c r="N143" s="20" t="str">
        <x:v>0</x:v>
      </x:c>
      <x:c r="O143" s="20" t="str">
        <x:v>0</x:v>
      </x:c>
      <x:c r="P143" s="20" t="str">
        <x:v>0</x:v>
      </x:c>
      <x:c r="Q143" s="20" t="str">
        <x:v>0</x:v>
      </x:c>
      <x:c r="R143" s="20" t="str">
        <x:v>0</x:v>
      </x:c>
      <x:c r="S143" s="20" t="str">
        <x:v>0</x:v>
      </x:c>
      <x:c r="T143" s="20" t="str">
        <x:v>0</x:v>
      </x:c>
      <x:c r="U143" s="20" t="str">
        <x:v>0</x:v>
      </x:c>
      <x:c r="V143" s="20" t="str">
        <x:v>0</x:v>
      </x:c>
      <x:c r="W143" s="20" t="str">
        <x:v>1</x:v>
      </x:c>
      <x:c r="X143" s="20" t="str">
        <x:v>0</x:v>
      </x:c>
      <x:c r="Y143" s="20" t="str">
        <x:v>0</x:v>
      </x:c>
      <x:c r="Z143" s="20" t="str">
        <x:v>0</x:v>
      </x:c>
      <x:c r="AA143" s="20" t="str">
        <x:v>0</x:v>
      </x:c>
      <x:c r="AB143" s="20" t="str">
        <x:v>0</x:v>
      </x:c>
      <x:c r="AC143" s="20" t="str">
        <x:v>0</x:v>
      </x:c>
      <x:c r="AD143" s="20" t="str">
        <x:v>0</x:v>
      </x:c>
      <x:c r="AE143" s="20" t="str">
        <x:v>0</x:v>
      </x:c>
    </x:row>
    <x:row r="144">
      <x:c r="A144" s="20" t="str">
        <x:v>kincaid1975_derivation_readability_formulas</x:v>
      </x:c>
      <x:c r="B144" s="20" t="str">
        <x:v>1975</x:v>
      </x:c>
      <x:c r="C144" s="20" t="str">
        <x:v>Derivation of New Readability Formulas for Navy Enlisted Personnel</x:v>
      </x:c>
      <x:c r="D144" s="20" t="str">
        <x:v>07_Evaluation_Methods</x:v>
      </x:c>
      <x:c r="E144" s="20" t="str">
        <x:v>0</x:v>
      </x:c>
      <x:c r="F144" s="20" t="str">
        <x:v>0</x:v>
      </x:c>
      <x:c r="G144" s="20" t="str">
        <x:v>0</x:v>
      </x:c>
      <x:c r="H144" s="20" t="str">
        <x:v>0</x:v>
      </x:c>
      <x:c r="I144" s="20" t="str">
        <x:v>0</x:v>
      </x:c>
      <x:c r="J144" s="20" t="str">
        <x:v>0</x:v>
      </x:c>
      <x:c r="K144" s="20" t="str">
        <x:v>0</x:v>
      </x:c>
      <x:c r="L144" s="20" t="str">
        <x:v>0</x:v>
      </x:c>
      <x:c r="M144" s="20" t="str">
        <x:v>0</x:v>
      </x:c>
      <x:c r="N144" s="20" t="str">
        <x:v>0</x:v>
      </x:c>
      <x:c r="O144" s="20" t="str">
        <x:v>0</x:v>
      </x:c>
      <x:c r="P144" s="20" t="str">
        <x:v>0</x:v>
      </x:c>
      <x:c r="Q144" s="20" t="str">
        <x:v>0</x:v>
      </x:c>
      <x:c r="R144" s="20" t="str">
        <x:v>0</x:v>
      </x:c>
      <x:c r="S144" s="20" t="str">
        <x:v>0</x:v>
      </x:c>
      <x:c r="T144" s="20" t="str">
        <x:v>0</x:v>
      </x:c>
      <x:c r="U144" s="20" t="str">
        <x:v>0</x:v>
      </x:c>
      <x:c r="V144" s="20" t="str">
        <x:v>0</x:v>
      </x:c>
      <x:c r="W144" s="20" t="str">
        <x:v>1</x:v>
      </x:c>
      <x:c r="X144" s="20" t="str">
        <x:v>0</x:v>
      </x:c>
      <x:c r="Y144" s="20" t="str">
        <x:v>0</x:v>
      </x:c>
      <x:c r="Z144" s="20" t="str">
        <x:v>0</x:v>
      </x:c>
      <x:c r="AA144" s="20" t="str">
        <x:v>0</x:v>
      </x:c>
      <x:c r="AB144" s="20" t="str">
        <x:v>0</x:v>
      </x:c>
      <x:c r="AC144" s="20" t="str">
        <x:v>0</x:v>
      </x:c>
      <x:c r="AD144" s="20" t="str">
        <x:v>0</x:v>
      </x:c>
      <x:c r="AE144" s="20" t="str">
        <x:v>0</x:v>
      </x:c>
    </x:row>
    <x:row r="145">
      <x:c r="A145" s="20" t="str">
        <x:v>mclaughlin1969_smog_grading_readability</x:v>
      </x:c>
      <x:c r="B145" s="20" t="str">
        <x:v>1969</x:v>
      </x:c>
      <x:c r="C145" s="20" t="str">
        <x:v>SMOG Grading: A New Readability Formula</x:v>
      </x:c>
      <x:c r="D145" s="20" t="str">
        <x:v>07_Evaluation_Methods</x:v>
      </x:c>
      <x:c r="E145" s="20" t="str">
        <x:v>0</x:v>
      </x:c>
      <x:c r="F145" s="20" t="str">
        <x:v>0</x:v>
      </x:c>
      <x:c r="G145" s="20" t="str">
        <x:v>0</x:v>
      </x:c>
      <x:c r="H145" s="20" t="str">
        <x:v>0</x:v>
      </x:c>
      <x:c r="I145" s="20" t="str">
        <x:v>0</x:v>
      </x:c>
      <x:c r="J145" s="20" t="str">
        <x:v>0</x:v>
      </x:c>
      <x:c r="K145" s="20" t="str">
        <x:v>0</x:v>
      </x:c>
      <x:c r="L145" s="20" t="str">
        <x:v>0</x:v>
      </x:c>
      <x:c r="M145" s="20" t="str">
        <x:v>0</x:v>
      </x:c>
      <x:c r="N145" s="20" t="str">
        <x:v>0</x:v>
      </x:c>
      <x:c r="O145" s="20" t="str">
        <x:v>0</x:v>
      </x:c>
      <x:c r="P145" s="20" t="str">
        <x:v>0</x:v>
      </x:c>
      <x:c r="Q145" s="20" t="str">
        <x:v>0</x:v>
      </x:c>
      <x:c r="R145" s="20" t="str">
        <x:v>0</x:v>
      </x:c>
      <x:c r="S145" s="20" t="str">
        <x:v>0</x:v>
      </x:c>
      <x:c r="T145" s="20" t="str">
        <x:v>0</x:v>
      </x:c>
      <x:c r="U145" s="20" t="str">
        <x:v>0</x:v>
      </x:c>
      <x:c r="V145" s="20" t="str">
        <x:v>0</x:v>
      </x:c>
      <x:c r="W145" s="20" t="str">
        <x:v>1</x:v>
      </x:c>
      <x:c r="X145" s="20" t="str">
        <x:v>0</x:v>
      </x:c>
      <x:c r="Y145" s="20" t="str">
        <x:v>0</x:v>
      </x:c>
      <x:c r="Z145" s="20" t="str">
        <x:v>0</x:v>
      </x:c>
      <x:c r="AA145" s="20" t="str">
        <x:v>0</x:v>
      </x:c>
      <x:c r="AB145" s="20" t="str">
        <x:v>0</x:v>
      </x:c>
      <x:c r="AC145" s="20" t="str">
        <x:v>0</x:v>
      </x:c>
      <x:c r="AD145" s="20" t="str">
        <x:v>0</x:v>
      </x:c>
      <x:c r="AE145" s="20" t="str">
        <x:v>0</x:v>
      </x:c>
    </x:row>
    <x:row r="146">
      <x:c r="A146" s="20" t="str">
        <x:v>dale1948_formula_predicting_readability</x:v>
      </x:c>
      <x:c r="B146" s="20" t="str">
        <x:v>1948</x:v>
      </x:c>
      <x:c r="C146" s="20" t="str">
        <x:v>A Formula for Predicting Readability</x:v>
      </x:c>
      <x:c r="D146" s="20" t="str">
        <x:v>07_Evaluation_Methods</x:v>
      </x:c>
      <x:c r="E146" s="20" t="str">
        <x:v>0</x:v>
      </x:c>
      <x:c r="F146" s="20" t="str">
        <x:v>0</x:v>
      </x:c>
      <x:c r="G146" s="20" t="str">
        <x:v>0</x:v>
      </x:c>
      <x:c r="H146" s="20" t="str">
        <x:v>0</x:v>
      </x:c>
      <x:c r="I146" s="20" t="str">
        <x:v>0</x:v>
      </x:c>
      <x:c r="J146" s="20" t="str">
        <x:v>0</x:v>
      </x:c>
      <x:c r="K146" s="20" t="str">
        <x:v>0</x:v>
      </x:c>
      <x:c r="L146" s="20" t="str">
        <x:v>0</x:v>
      </x:c>
      <x:c r="M146" s="20" t="str">
        <x:v>0</x:v>
      </x:c>
      <x:c r="N146" s="20" t="str">
        <x:v>0</x:v>
      </x:c>
      <x:c r="O146" s="20" t="str">
        <x:v>0</x:v>
      </x:c>
      <x:c r="P146" s="20" t="str">
        <x:v>0</x:v>
      </x:c>
      <x:c r="Q146" s="20" t="str">
        <x:v>0</x:v>
      </x:c>
      <x:c r="R146" s="20" t="str">
        <x:v>0</x:v>
      </x:c>
      <x:c r="S146" s="20" t="str">
        <x:v>0</x:v>
      </x:c>
      <x:c r="T146" s="20" t="str">
        <x:v>0</x:v>
      </x:c>
      <x:c r="U146" s="20" t="str">
        <x:v>0</x:v>
      </x:c>
      <x:c r="V146" s="20" t="str">
        <x:v>0</x:v>
      </x:c>
      <x:c r="W146" s="20" t="str">
        <x:v>1</x:v>
      </x:c>
      <x:c r="X146" s="20" t="str">
        <x:v>0</x:v>
      </x:c>
      <x:c r="Y146" s="20" t="str">
        <x:v>0</x:v>
      </x:c>
      <x:c r="Z146" s="20" t="str">
        <x:v>0</x:v>
      </x:c>
      <x:c r="AA146" s="20" t="str">
        <x:v>0</x:v>
      </x:c>
      <x:c r="AB146" s="20" t="str">
        <x:v>0</x:v>
      </x:c>
      <x:c r="AC146" s="20" t="str">
        <x:v>0</x:v>
      </x:c>
      <x:c r="AD146" s="20" t="str">
        <x:v>0</x:v>
      </x:c>
      <x:c r="AE146" s="20" t="str">
        <x:v>0</x:v>
      </x:c>
    </x:row>
    <x:row r="147">
      <x:c r="A147" s="20" t="str">
        <x:v>badarudeen2010_assessing_readability_patient</x:v>
      </x:c>
      <x:c r="B147" s="20" t="str">
        <x:v>2010</x:v>
      </x:c>
      <x:c r="C147" s="20" t="str">
        <x:v>Assessing Readability of Patient Education Materials: Current Role in Orthopaedics</x:v>
      </x:c>
      <x:c r="D147" s="20" t="str">
        <x:v>07_Evaluation_Methods</x:v>
      </x:c>
      <x:c r="E147" s="20" t="str">
        <x:v>0</x:v>
      </x:c>
      <x:c r="F147" s="20" t="str">
        <x:v>0</x:v>
      </x:c>
      <x:c r="G147" s="20" t="str">
        <x:v>0</x:v>
      </x:c>
      <x:c r="H147" s="20" t="str">
        <x:v>0</x:v>
      </x:c>
      <x:c r="I147" s="20" t="str">
        <x:v>0</x:v>
      </x:c>
      <x:c r="J147" s="20" t="str">
        <x:v>0</x:v>
      </x:c>
      <x:c r="K147" s="20" t="str">
        <x:v>0</x:v>
      </x:c>
      <x:c r="L147" s="20" t="str">
        <x:v>0</x:v>
      </x:c>
      <x:c r="M147" s="20" t="str">
        <x:v>0</x:v>
      </x:c>
      <x:c r="N147" s="20" t="str">
        <x:v>0</x:v>
      </x:c>
      <x:c r="O147" s="20" t="str">
        <x:v>0</x:v>
      </x:c>
      <x:c r="P147" s="20" t="str">
        <x:v>0</x:v>
      </x:c>
      <x:c r="Q147" s="20" t="str">
        <x:v>0</x:v>
      </x:c>
      <x:c r="R147" s="20" t="str">
        <x:v>0</x:v>
      </x:c>
      <x:c r="S147" s="20" t="str">
        <x:v>0</x:v>
      </x:c>
      <x:c r="T147" s="20" t="str">
        <x:v>0</x:v>
      </x:c>
      <x:c r="U147" s="20" t="str">
        <x:v>0</x:v>
      </x:c>
      <x:c r="V147" s="20" t="str">
        <x:v>0</x:v>
      </x:c>
      <x:c r="W147" s="20" t="str">
        <x:v>1</x:v>
      </x:c>
      <x:c r="X147" s="20" t="str">
        <x:v>0</x:v>
      </x:c>
      <x:c r="Y147" s="20" t="str">
        <x:v>0</x:v>
      </x:c>
      <x:c r="Z147" s="20" t="str">
        <x:v>0</x:v>
      </x:c>
      <x:c r="AA147" s="20" t="str">
        <x:v>0</x:v>
      </x:c>
      <x:c r="AB147" s="20" t="str">
        <x:v>0</x:v>
      </x:c>
      <x:c r="AC147" s="20" t="str">
        <x:v>0</x:v>
      </x:c>
      <x:c r="AD147" s="20" t="str">
        <x:v>0</x:v>
      </x:c>
      <x:c r="AE147" s="20" t="str">
        <x:v>0</x:v>
      </x:c>
    </x:row>
    <x:row r="148">
      <x:c r="A148" s="20" t="str">
        <x:v>weiss2003_health_literacy_manual</x:v>
      </x:c>
      <x:c r="B148" s="20" t="str">
        <x:v>2003</x:v>
      </x:c>
      <x:c r="C148" s="20" t="str">
        <x:v>Health Literacy: A Manual for Clinicians</x:v>
      </x:c>
      <x:c r="D148" s="20" t="str">
        <x:v>07_Evaluation_Methods</x:v>
      </x:c>
      <x:c r="E148" s="20" t="str">
        <x:v>0</x:v>
      </x:c>
      <x:c r="F148" s="20" t="str">
        <x:v>0</x:v>
      </x:c>
      <x:c r="G148" s="20" t="str">
        <x:v>0</x:v>
      </x:c>
      <x:c r="H148" s="20" t="str">
        <x:v>0</x:v>
      </x:c>
      <x:c r="I148" s="20" t="str">
        <x:v>0</x:v>
      </x:c>
      <x:c r="J148" s="20" t="str">
        <x:v>0</x:v>
      </x:c>
      <x:c r="K148" s="20" t="str">
        <x:v>0</x:v>
      </x:c>
      <x:c r="L148" s="20" t="str">
        <x:v>0</x:v>
      </x:c>
      <x:c r="M148" s="20" t="str">
        <x:v>0</x:v>
      </x:c>
      <x:c r="N148" s="20" t="str">
        <x:v>0</x:v>
      </x:c>
      <x:c r="O148" s="20" t="str">
        <x:v>0</x:v>
      </x:c>
      <x:c r="P148" s="20" t="str">
        <x:v>0</x:v>
      </x:c>
      <x:c r="Q148" s="20" t="str">
        <x:v>0</x:v>
      </x:c>
      <x:c r="R148" s="20" t="str">
        <x:v>0</x:v>
      </x:c>
      <x:c r="S148" s="20" t="str">
        <x:v>0</x:v>
      </x:c>
      <x:c r="T148" s="20" t="str">
        <x:v>0</x:v>
      </x:c>
      <x:c r="U148" s="20" t="str">
        <x:v>0</x:v>
      </x:c>
      <x:c r="V148" s="20" t="str">
        <x:v>0</x:v>
      </x:c>
      <x:c r="W148" s="20" t="str">
        <x:v>1</x:v>
      </x:c>
      <x:c r="X148" s="20" t="str">
        <x:v>0</x:v>
      </x:c>
      <x:c r="Y148" s="20" t="str">
        <x:v>0</x:v>
      </x:c>
      <x:c r="Z148" s="20" t="str">
        <x:v>0</x:v>
      </x:c>
      <x:c r="AA148" s="20" t="str">
        <x:v>0</x:v>
      </x:c>
      <x:c r="AB148" s="20" t="str">
        <x:v>0</x:v>
      </x:c>
      <x:c r="AC148" s="20" t="str">
        <x:v>0</x:v>
      </x:c>
      <x:c r="AD148" s="20" t="str">
        <x:v>0</x:v>
      </x:c>
      <x:c r="AE148" s="20" t="str">
        <x:v>0</x:v>
      </x:c>
    </x:row>
    <x:row r="149">
      <x:c r="A149" s="20" t="str">
        <x:v>berkman2011_low_health_literacy</x:v>
      </x:c>
      <x:c r="B149" s="20" t="str">
        <x:v>2011</x:v>
      </x:c>
      <x:c r="C149" s="20" t="str">
        <x:v>Low Health Literacy and Health Outcomes: An Updated Systematic Review</x:v>
      </x:c>
      <x:c r="D149" s="20" t="str">
        <x:v>07_Evaluation_Methods</x:v>
      </x:c>
      <x:c r="E149" s="20" t="str">
        <x:v>0</x:v>
      </x:c>
      <x:c r="F149" s="20" t="str">
        <x:v>0</x:v>
      </x:c>
      <x:c r="G149" s="20" t="str">
        <x:v>0</x:v>
      </x:c>
      <x:c r="H149" s="20" t="str">
        <x:v>0</x:v>
      </x:c>
      <x:c r="I149" s="20" t="str">
        <x:v>0</x:v>
      </x:c>
      <x:c r="J149" s="20" t="str">
        <x:v>0</x:v>
      </x:c>
      <x:c r="K149" s="20" t="str">
        <x:v>0</x:v>
      </x:c>
      <x:c r="L149" s="20" t="str">
        <x:v>0</x:v>
      </x:c>
      <x:c r="M149" s="20" t="str">
        <x:v>0</x:v>
      </x:c>
      <x:c r="N149" s="20" t="str">
        <x:v>0</x:v>
      </x:c>
      <x:c r="O149" s="20" t="str">
        <x:v>0</x:v>
      </x:c>
      <x:c r="P149" s="20" t="str">
        <x:v>0</x:v>
      </x:c>
      <x:c r="Q149" s="20" t="str">
        <x:v>0</x:v>
      </x:c>
      <x:c r="R149" s="20" t="str">
        <x:v>0</x:v>
      </x:c>
      <x:c r="S149" s="20" t="str">
        <x:v>0</x:v>
      </x:c>
      <x:c r="T149" s="20" t="str">
        <x:v>0</x:v>
      </x:c>
      <x:c r="U149" s="20" t="str">
        <x:v>0</x:v>
      </x:c>
      <x:c r="V149" s="20" t="str">
        <x:v>0</x:v>
      </x:c>
      <x:c r="W149" s="20" t="str">
        <x:v>1</x:v>
      </x:c>
      <x:c r="X149" s="20" t="str">
        <x:v>0</x:v>
      </x:c>
      <x:c r="Y149" s="20" t="str">
        <x:v>0</x:v>
      </x:c>
      <x:c r="Z149" s="20" t="str">
        <x:v>0</x:v>
      </x:c>
      <x:c r="AA149" s="20" t="str">
        <x:v>0</x:v>
      </x:c>
      <x:c r="AB149" s="20" t="str">
        <x:v>0</x:v>
      </x:c>
      <x:c r="AC149" s="20" t="str">
        <x:v>0</x:v>
      </x:c>
      <x:c r="AD149" s="20" t="str">
        <x:v>0</x:v>
      </x:c>
      <x:c r="AE149" s="20" t="str">
        <x:v>0</x:v>
      </x:c>
    </x:row>
    <x:row r="150">
      <x:c r="A150" s="20" t="str">
        <x:v>page2021_prisma_2020_statement</x:v>
      </x:c>
      <x:c r="B150" s="20" t="str">
        <x:v>2021</x:v>
      </x:c>
      <x:c r="C150" s="20" t="str">
        <x:v>The PRISMA 2020 Statement: An Updated Guideline for Reporting Systematic Reviews</x:v>
      </x:c>
      <x:c r="D150" s="20" t="str">
        <x:v>08_Systematic_Review_Methods</x:v>
      </x:c>
      <x:c r="E150" s="20" t="str">
        <x:v>0</x:v>
      </x:c>
      <x:c r="F150" s="20" t="str">
        <x:v>0</x:v>
      </x:c>
      <x:c r="G150" s="20" t="str">
        <x:v>0</x:v>
      </x:c>
      <x:c r="H150" s="20" t="str">
        <x:v>0</x:v>
      </x:c>
      <x:c r="I150" s="20" t="str">
        <x:v>0</x:v>
      </x:c>
      <x:c r="J150" s="20" t="str">
        <x:v>0</x:v>
      </x:c>
      <x:c r="K150" s="20" t="str">
        <x:v>0</x:v>
      </x:c>
      <x:c r="L150" s="20" t="str">
        <x:v>0</x:v>
      </x:c>
      <x:c r="M150" s="20" t="str">
        <x:v>0</x:v>
      </x:c>
      <x:c r="N150" s="20" t="str">
        <x:v>0</x:v>
      </x:c>
      <x:c r="O150" s="20" t="str">
        <x:v>0</x:v>
      </x:c>
      <x:c r="P150" s="20" t="str">
        <x:v>0</x:v>
      </x:c>
      <x:c r="Q150" s="20" t="str">
        <x:v>0</x:v>
      </x:c>
      <x:c r="R150" s="20" t="str">
        <x:v>0</x:v>
      </x:c>
      <x:c r="S150" s="20" t="str">
        <x:v>0</x:v>
      </x:c>
      <x:c r="T150" s="20" t="str">
        <x:v>0</x:v>
      </x:c>
      <x:c r="U150" s="20" t="str">
        <x:v>0</x:v>
      </x:c>
      <x:c r="V150" s="20" t="str">
        <x:v>0</x:v>
      </x:c>
      <x:c r="W150" s="20" t="str">
        <x:v>1</x:v>
      </x:c>
      <x:c r="X150" s="20" t="str">
        <x:v>0</x:v>
      </x:c>
      <x:c r="Y150" s="20" t="str">
        <x:v>0</x:v>
      </x:c>
      <x:c r="Z150" s="20" t="str">
        <x:v>0</x:v>
      </x:c>
      <x:c r="AA150" s="20" t="str">
        <x:v>0</x:v>
      </x:c>
      <x:c r="AB150" s="20" t="str">
        <x:v>0</x:v>
      </x:c>
      <x:c r="AC150" s="20" t="str">
        <x:v>0</x:v>
      </x:c>
      <x:c r="AD150" s="20" t="str">
        <x:v>0</x:v>
      </x:c>
      <x:c r="AE150" s="20" t="str">
        <x:v>0</x:v>
      </x:c>
    </x:row>
    <x:row r="151">
      <x:c r="A151" s="20" t="str">
        <x:v>rethlefsen2021_prisma_s_extension</x:v>
      </x:c>
      <x:c r="B151" s="20" t="str">
        <x:v>2021</x:v>
      </x:c>
      <x:c r="C151" s="20" t="str">
        <x:v>PRISMA-S: An Extension to the PRISMA Statement for Reporting Literature Searches in Systematic Reviews</x:v>
      </x:c>
      <x:c r="D151" s="20" t="str">
        <x:v>08_Systematic_Review_Methods</x:v>
      </x:c>
      <x:c r="E151" s="20" t="str">
        <x:v>0</x:v>
      </x:c>
      <x:c r="F151" s="20" t="str">
        <x:v>0</x:v>
      </x:c>
      <x:c r="G151" s="20" t="str">
        <x:v>0</x:v>
      </x:c>
      <x:c r="H151" s="20" t="str">
        <x:v>0</x:v>
      </x:c>
      <x:c r="I151" s="20" t="str">
        <x:v>0</x:v>
      </x:c>
      <x:c r="J151" s="20" t="str">
        <x:v>0</x:v>
      </x:c>
      <x:c r="K151" s="20" t="str">
        <x:v>0</x:v>
      </x:c>
      <x:c r="L151" s="20" t="str">
        <x:v>0</x:v>
      </x:c>
      <x:c r="M151" s="20" t="str">
        <x:v>0</x:v>
      </x:c>
      <x:c r="N151" s="20" t="str">
        <x:v>0</x:v>
      </x:c>
      <x:c r="O151" s="20" t="str">
        <x:v>0</x:v>
      </x:c>
      <x:c r="P151" s="20" t="str">
        <x:v>0</x:v>
      </x:c>
      <x:c r="Q151" s="20" t="str">
        <x:v>0</x:v>
      </x:c>
      <x:c r="R151" s="20" t="str">
        <x:v>0</x:v>
      </x:c>
      <x:c r="S151" s="20" t="str">
        <x:v>0</x:v>
      </x:c>
      <x:c r="T151" s="20" t="str">
        <x:v>0</x:v>
      </x:c>
      <x:c r="U151" s="20" t="str">
        <x:v>0</x:v>
      </x:c>
      <x:c r="V151" s="20" t="str">
        <x:v>0</x:v>
      </x:c>
      <x:c r="W151" s="20" t="str">
        <x:v>1</x:v>
      </x:c>
      <x:c r="X151" s="20" t="str">
        <x:v>0</x:v>
      </x:c>
      <x:c r="Y151" s="20" t="str">
        <x:v>0</x:v>
      </x:c>
      <x:c r="Z151" s="20" t="str">
        <x:v>0</x:v>
      </x:c>
      <x:c r="AA151" s="20" t="str">
        <x:v>0</x:v>
      </x:c>
      <x:c r="AB151" s="20" t="str">
        <x:v>0</x:v>
      </x:c>
      <x:c r="AC151" s="20" t="str">
        <x:v>0</x:v>
      </x:c>
      <x:c r="AD151" s="20" t="str">
        <x:v>0</x:v>
      </x:c>
      <x:c r="AE151" s="20" t="str">
        <x:v>0</x:v>
      </x:c>
    </x:row>
    <x:row r="152">
      <x:c r="A152" s="20" t="str">
        <x:v>campbell2020_synthesis_without_meta</x:v>
      </x:c>
      <x:c r="B152" s="20" t="str">
        <x:v>2020</x:v>
      </x:c>
      <x:c r="C152" s="20" t="str">
        <x:v>Synthesis without Meta-analysis (SWiM) in Systematic Reviews: Reporting Guideline</x:v>
      </x:c>
      <x:c r="D152" s="20" t="str">
        <x:v>08_Systematic_Review_Methods</x:v>
      </x:c>
      <x:c r="E152" s="20" t="str">
        <x:v>0</x:v>
      </x:c>
      <x:c r="F152" s="20" t="str">
        <x:v>0</x:v>
      </x:c>
      <x:c r="G152" s="20" t="str">
        <x:v>0</x:v>
      </x:c>
      <x:c r="H152" s="20" t="str">
        <x:v>0</x:v>
      </x:c>
      <x:c r="I152" s="20" t="str">
        <x:v>0</x:v>
      </x:c>
      <x:c r="J152" s="20" t="str">
        <x:v>0</x:v>
      </x:c>
      <x:c r="K152" s="20" t="str">
        <x:v>0</x:v>
      </x:c>
      <x:c r="L152" s="20" t="str">
        <x:v>0</x:v>
      </x:c>
      <x:c r="M152" s="20" t="str">
        <x:v>0</x:v>
      </x:c>
      <x:c r="N152" s="20" t="str">
        <x:v>0</x:v>
      </x:c>
      <x:c r="O152" s="20" t="str">
        <x:v>0</x:v>
      </x:c>
      <x:c r="P152" s="20" t="str">
        <x:v>0</x:v>
      </x:c>
      <x:c r="Q152" s="20" t="str">
        <x:v>0</x:v>
      </x:c>
      <x:c r="R152" s="20" t="str">
        <x:v>0</x:v>
      </x:c>
      <x:c r="S152" s="20" t="str">
        <x:v>0</x:v>
      </x:c>
      <x:c r="T152" s="20" t="str">
        <x:v>0</x:v>
      </x:c>
      <x:c r="U152" s="20" t="str">
        <x:v>0</x:v>
      </x:c>
      <x:c r="V152" s="20" t="str">
        <x:v>0</x:v>
      </x:c>
      <x:c r="W152" s="20" t="str">
        <x:v>1</x:v>
      </x:c>
      <x:c r="X152" s="20" t="str">
        <x:v>0</x:v>
      </x:c>
      <x:c r="Y152" s="20" t="str">
        <x:v>0</x:v>
      </x:c>
      <x:c r="Z152" s="20" t="str">
        <x:v>0</x:v>
      </x:c>
      <x:c r="AA152" s="20" t="str">
        <x:v>0</x:v>
      </x:c>
      <x:c r="AB152" s="20" t="str">
        <x:v>0</x:v>
      </x:c>
      <x:c r="AC152" s="20" t="str">
        <x:v>0</x:v>
      </x:c>
      <x:c r="AD152" s="20" t="str">
        <x:v>0</x:v>
      </x:c>
      <x:c r="AE152" s="20" t="str">
        <x:v>0</x:v>
      </x:c>
    </x:row>
    <x:row r="153">
      <x:c r="A153" s="20" t="str">
        <x:v>guyatt2008_grade_emerging_consensus</x:v>
      </x:c>
      <x:c r="B153" s="20" t="str">
        <x:v>2008</x:v>
      </x:c>
      <x:c r="C153" s="20" t="str">
        <x:v>GRADE: An Emerging Consensus on Rating Quality of Evidence and Strength of Recommendations</x:v>
      </x:c>
      <x:c r="D153" s="20" t="str">
        <x:v>08_Systematic_Review_Methods</x:v>
      </x:c>
      <x:c r="E153" s="20" t="str">
        <x:v>0</x:v>
      </x:c>
      <x:c r="F153" s="20" t="str">
        <x:v>0</x:v>
      </x:c>
      <x:c r="G153" s="20" t="str">
        <x:v>0</x:v>
      </x:c>
      <x:c r="H153" s="20" t="str">
        <x:v>0</x:v>
      </x:c>
      <x:c r="I153" s="20" t="str">
        <x:v>0</x:v>
      </x:c>
      <x:c r="J153" s="20" t="str">
        <x:v>0</x:v>
      </x:c>
      <x:c r="K153" s="20" t="str">
        <x:v>0</x:v>
      </x:c>
      <x:c r="L153" s="20" t="str">
        <x:v>0</x:v>
      </x:c>
      <x:c r="M153" s="20" t="str">
        <x:v>0</x:v>
      </x:c>
      <x:c r="N153" s="20" t="str">
        <x:v>0</x:v>
      </x:c>
      <x:c r="O153" s="20" t="str">
        <x:v>0</x:v>
      </x:c>
      <x:c r="P153" s="20" t="str">
        <x:v>0</x:v>
      </x:c>
      <x:c r="Q153" s="20" t="str">
        <x:v>0</x:v>
      </x:c>
      <x:c r="R153" s="20" t="str">
        <x:v>0</x:v>
      </x:c>
      <x:c r="S153" s="20" t="str">
        <x:v>0</x:v>
      </x:c>
      <x:c r="T153" s="20" t="str">
        <x:v>0</x:v>
      </x:c>
      <x:c r="U153" s="20" t="str">
        <x:v>0</x:v>
      </x:c>
      <x:c r="V153" s="20" t="str">
        <x:v>0</x:v>
      </x:c>
      <x:c r="W153" s="20" t="str">
        <x:v>1</x:v>
      </x:c>
      <x:c r="X153" s="20" t="str">
        <x:v>0</x:v>
      </x:c>
      <x:c r="Y153" s="20" t="str">
        <x:v>0</x:v>
      </x:c>
      <x:c r="Z153" s="20" t="str">
        <x:v>0</x:v>
      </x:c>
      <x:c r="AA153" s="20" t="str">
        <x:v>0</x:v>
      </x:c>
      <x:c r="AB153" s="20" t="str">
        <x:v>0</x:v>
      </x:c>
      <x:c r="AC153" s="20" t="str">
        <x:v>0</x:v>
      </x:c>
      <x:c r="AD153" s="20" t="str">
        <x:v>0</x:v>
      </x:c>
      <x:c r="AE153" s="20" t="str">
        <x:v>0</x:v>
      </x:c>
    </x:row>
    <x:row r="154">
      <x:c r="A154" s="20" t="str">
        <x:v>sterne2019_rob_2_revised</x:v>
      </x:c>
      <x:c r="B154" s="20" t="str">
        <x:v>2019</x:v>
      </x:c>
      <x:c r="C154" s="20" t="str">
        <x:v>RoB 2: A Revised Tool for Assessing Risk of Bias in Randomised Trials</x:v>
      </x:c>
      <x:c r="D154" s="20" t="str">
        <x:v>08_Systematic_Review_Methods</x:v>
      </x:c>
      <x:c r="E154" s="20" t="str">
        <x:v>0</x:v>
      </x:c>
      <x:c r="F154" s="20" t="str">
        <x:v>0</x:v>
      </x:c>
      <x:c r="G154" s="20" t="str">
        <x:v>0</x:v>
      </x:c>
      <x:c r="H154" s="20" t="str">
        <x:v>0</x:v>
      </x:c>
      <x:c r="I154" s="20" t="str">
        <x:v>0</x:v>
      </x:c>
      <x:c r="J154" s="20" t="str">
        <x:v>0</x:v>
      </x:c>
      <x:c r="K154" s="20" t="str">
        <x:v>0</x:v>
      </x:c>
      <x:c r="L154" s="20" t="str">
        <x:v>0</x:v>
      </x:c>
      <x:c r="M154" s="20" t="str">
        <x:v>0</x:v>
      </x:c>
      <x:c r="N154" s="20" t="str">
        <x:v>0</x:v>
      </x:c>
      <x:c r="O154" s="20" t="str">
        <x:v>0</x:v>
      </x:c>
      <x:c r="P154" s="20" t="str">
        <x:v>0</x:v>
      </x:c>
      <x:c r="Q154" s="20" t="str">
        <x:v>0</x:v>
      </x:c>
      <x:c r="R154" s="20" t="str">
        <x:v>0</x:v>
      </x:c>
      <x:c r="S154" s="20" t="str">
        <x:v>0</x:v>
      </x:c>
      <x:c r="T154" s="20" t="str">
        <x:v>0</x:v>
      </x:c>
      <x:c r="U154" s="20" t="str">
        <x:v>0</x:v>
      </x:c>
      <x:c r="V154" s="20" t="str">
        <x:v>0</x:v>
      </x:c>
      <x:c r="W154" s="20" t="str">
        <x:v>1</x:v>
      </x:c>
      <x:c r="X154" s="20" t="str">
        <x:v>0</x:v>
      </x:c>
      <x:c r="Y154" s="20" t="str">
        <x:v>0</x:v>
      </x:c>
      <x:c r="Z154" s="20" t="str">
        <x:v>0</x:v>
      </x:c>
      <x:c r="AA154" s="20" t="str">
        <x:v>0</x:v>
      </x:c>
      <x:c r="AB154" s="20" t="str">
        <x:v>0</x:v>
      </x:c>
      <x:c r="AC154" s="20" t="str">
        <x:v>0</x:v>
      </x:c>
      <x:c r="AD154" s="20" t="str">
        <x:v>0</x:v>
      </x:c>
      <x:c r="AE154" s="20" t="str">
        <x:v>0</x:v>
      </x:c>
    </x:row>
    <x:row r="155">
      <x:c r="A155" s="20" t="str">
        <x:v>sterne2016_robins_i_tool</x:v>
      </x:c>
      <x:c r="B155" s="20" t="str">
        <x:v>2016</x:v>
      </x:c>
      <x:c r="C155" s="20" t="str">
        <x:v>ROBINS-I: A Tool for Assessing Risk of Bias in Non-randomised Studies of Interventions</x:v>
      </x:c>
      <x:c r="D155" s="20" t="str">
        <x:v>08_Systematic_Review_Methods</x:v>
      </x:c>
      <x:c r="E155" s="20" t="str">
        <x:v>0</x:v>
      </x:c>
      <x:c r="F155" s="20" t="str">
        <x:v>0</x:v>
      </x:c>
      <x:c r="G155" s="20" t="str">
        <x:v>0</x:v>
      </x:c>
      <x:c r="H155" s="20" t="str">
        <x:v>0</x:v>
      </x:c>
      <x:c r="I155" s="20" t="str">
        <x:v>0</x:v>
      </x:c>
      <x:c r="J155" s="20" t="str">
        <x:v>0</x:v>
      </x:c>
      <x:c r="K155" s="20" t="str">
        <x:v>0</x:v>
      </x:c>
      <x:c r="L155" s="20" t="str">
        <x:v>0</x:v>
      </x:c>
      <x:c r="M155" s="20" t="str">
        <x:v>0</x:v>
      </x:c>
      <x:c r="N155" s="20" t="str">
        <x:v>0</x:v>
      </x:c>
      <x:c r="O155" s="20" t="str">
        <x:v>0</x:v>
      </x:c>
      <x:c r="P155" s="20" t="str">
        <x:v>0</x:v>
      </x:c>
      <x:c r="Q155" s="20" t="str">
        <x:v>0</x:v>
      </x:c>
      <x:c r="R155" s="20" t="str">
        <x:v>0</x:v>
      </x:c>
      <x:c r="S155" s="20" t="str">
        <x:v>0</x:v>
      </x:c>
      <x:c r="T155" s="20" t="str">
        <x:v>0</x:v>
      </x:c>
      <x:c r="U155" s="20" t="str">
        <x:v>0</x:v>
      </x:c>
      <x:c r="V155" s="20" t="str">
        <x:v>0</x:v>
      </x:c>
      <x:c r="W155" s="20" t="str">
        <x:v>1</x:v>
      </x:c>
      <x:c r="X155" s="20" t="str">
        <x:v>0</x:v>
      </x:c>
      <x:c r="Y155" s="20" t="str">
        <x:v>0</x:v>
      </x:c>
      <x:c r="Z155" s="20" t="str">
        <x:v>0</x:v>
      </x:c>
      <x:c r="AA155" s="20" t="str">
        <x:v>0</x:v>
      </x:c>
      <x:c r="AB155" s="20" t="str">
        <x:v>0</x:v>
      </x:c>
      <x:c r="AC155" s="20" t="str">
        <x:v>0</x:v>
      </x:c>
      <x:c r="AD155" s="20" t="str">
        <x:v>0</x:v>
      </x:c>
      <x:c r="AE155" s="20" t="str">
        <x:v>0</x:v>
      </x:c>
    </x:row>
    <x:row r="156">
      <x:c r="A156" s="20" t="str">
        <x:v>shea2017_amstar_2_critical</x:v>
      </x:c>
      <x:c r="B156" s="20" t="str">
        <x:v>2017</x:v>
      </x:c>
      <x:c r="C156" s="20" t="str">
        <x:v>AMSTAR 2: A Critical Appraisal Tool for Systematic Reviews That Include Randomised or Non-randomised Studies of Healthcare Interventions, or Both</x:v>
      </x:c>
      <x:c r="D156" s="20" t="str">
        <x:v>08_Systematic_Review_Methods</x:v>
      </x:c>
      <x:c r="E156" s="20" t="str">
        <x:v>0</x:v>
      </x:c>
      <x:c r="F156" s="20" t="str">
        <x:v>0</x:v>
      </x:c>
      <x:c r="G156" s="20" t="str">
        <x:v>0</x:v>
      </x:c>
      <x:c r="H156" s="20" t="str">
        <x:v>0</x:v>
      </x:c>
      <x:c r="I156" s="20" t="str">
        <x:v>0</x:v>
      </x:c>
      <x:c r="J156" s="20" t="str">
        <x:v>0</x:v>
      </x:c>
      <x:c r="K156" s="20" t="str">
        <x:v>0</x:v>
      </x:c>
      <x:c r="L156" s="20" t="str">
        <x:v>0</x:v>
      </x:c>
      <x:c r="M156" s="20" t="str">
        <x:v>0</x:v>
      </x:c>
      <x:c r="N156" s="20" t="str">
        <x:v>0</x:v>
      </x:c>
      <x:c r="O156" s="20" t="str">
        <x:v>0</x:v>
      </x:c>
      <x:c r="P156" s="20" t="str">
        <x:v>0</x:v>
      </x:c>
      <x:c r="Q156" s="20" t="str">
        <x:v>0</x:v>
      </x:c>
      <x:c r="R156" s="20" t="str">
        <x:v>0</x:v>
      </x:c>
      <x:c r="S156" s="20" t="str">
        <x:v>0</x:v>
      </x:c>
      <x:c r="T156" s="20" t="str">
        <x:v>0</x:v>
      </x:c>
      <x:c r="U156" s="20" t="str">
        <x:v>0</x:v>
      </x:c>
      <x:c r="V156" s="20" t="str">
        <x:v>0</x:v>
      </x:c>
      <x:c r="W156" s="20" t="str">
        <x:v>1</x:v>
      </x:c>
      <x:c r="X156" s="20" t="str">
        <x:v>0</x:v>
      </x:c>
      <x:c r="Y156" s="20" t="str">
        <x:v>0</x:v>
      </x:c>
      <x:c r="Z156" s="20" t="str">
        <x:v>0</x:v>
      </x:c>
      <x:c r="AA156" s="20" t="str">
        <x:v>0</x:v>
      </x:c>
      <x:c r="AB156" s="20" t="str">
        <x:v>0</x:v>
      </x:c>
      <x:c r="AC156" s="20" t="str">
        <x:v>0</x:v>
      </x:c>
      <x:c r="AD156" s="20" t="str">
        <x:v>0</x:v>
      </x:c>
      <x:c r="AE156" s="20" t="str">
        <x:v>0</x:v>
      </x:c>
    </x:row>
    <x:row r="157">
      <x:c r="A157" s="20" t="str">
        <x:v>cooke2012_beyond_pico_spider</x:v>
      </x:c>
      <x:c r="B157" s="20" t="str">
        <x:v>2012</x:v>
      </x:c>
      <x:c r="C157" s="20" t="str">
        <x:v>Beyond PICO: The SPIDER Tool for Qualitative Evidence Synthesis</x:v>
      </x:c>
      <x:c r="D157" s="20" t="str">
        <x:v>08_Systematic_Review_Methods</x:v>
      </x:c>
      <x:c r="E157" s="20" t="str">
        <x:v>0</x:v>
      </x:c>
      <x:c r="F157" s="20" t="str">
        <x:v>0</x:v>
      </x:c>
      <x:c r="G157" s="20" t="str">
        <x:v>0</x:v>
      </x:c>
      <x:c r="H157" s="20" t="str">
        <x:v>0</x:v>
      </x:c>
      <x:c r="I157" s="20" t="str">
        <x:v>0</x:v>
      </x:c>
      <x:c r="J157" s="20" t="str">
        <x:v>0</x:v>
      </x:c>
      <x:c r="K157" s="20" t="str">
        <x:v>0</x:v>
      </x:c>
      <x:c r="L157" s="20" t="str">
        <x:v>0</x:v>
      </x:c>
      <x:c r="M157" s="20" t="str">
        <x:v>0</x:v>
      </x:c>
      <x:c r="N157" s="20" t="str">
        <x:v>0</x:v>
      </x:c>
      <x:c r="O157" s="20" t="str">
        <x:v>0</x:v>
      </x:c>
      <x:c r="P157" s="20" t="str">
        <x:v>0</x:v>
      </x:c>
      <x:c r="Q157" s="20" t="str">
        <x:v>0</x:v>
      </x:c>
      <x:c r="R157" s="20" t="str">
        <x:v>0</x:v>
      </x:c>
      <x:c r="S157" s="20" t="str">
        <x:v>0</x:v>
      </x:c>
      <x:c r="T157" s="20" t="str">
        <x:v>0</x:v>
      </x:c>
      <x:c r="U157" s="20" t="str">
        <x:v>0</x:v>
      </x:c>
      <x:c r="V157" s="20" t="str">
        <x:v>0</x:v>
      </x:c>
      <x:c r="W157" s="20" t="str">
        <x:v>1</x:v>
      </x:c>
      <x:c r="X157" s="20" t="str">
        <x:v>0</x:v>
      </x:c>
      <x:c r="Y157" s="20" t="str">
        <x:v>0</x:v>
      </x:c>
      <x:c r="Z157" s="20" t="str">
        <x:v>0</x:v>
      </x:c>
      <x:c r="AA157" s="20" t="str">
        <x:v>0</x:v>
      </x:c>
      <x:c r="AB157" s="20" t="str">
        <x:v>0</x:v>
      </x:c>
      <x:c r="AC157" s="20" t="str">
        <x:v>0</x:v>
      </x:c>
      <x:c r="AD157" s="20" t="str">
        <x:v>0</x:v>
      </x:c>
      <x:c r="AE157" s="20" t="str">
        <x:v>0</x:v>
      </x:c>
    </x:row>
    <x:row r="158">
      <x:c r="A158" s="20" t="str">
        <x:v>thomas2008_thematic_synthesis_qualitative</x:v>
      </x:c>
      <x:c r="B158" s="20" t="str">
        <x:v>2008</x:v>
      </x:c>
      <x:c r="C158" s="20" t="str">
        <x:v>Methods for the Thematic Synthesis of Qualitative Research in Systematic Reviews</x:v>
      </x:c>
      <x:c r="D158" s="20" t="str">
        <x:v>08_Systematic_Review_Methods</x:v>
      </x:c>
      <x:c r="E158" s="20" t="str">
        <x:v>0</x:v>
      </x:c>
      <x:c r="F158" s="20" t="str">
        <x:v>0</x:v>
      </x:c>
      <x:c r="G158" s="20" t="str">
        <x:v>0</x:v>
      </x:c>
      <x:c r="H158" s="20" t="str">
        <x:v>0</x:v>
      </x:c>
      <x:c r="I158" s="20" t="str">
        <x:v>0</x:v>
      </x:c>
      <x:c r="J158" s="20" t="str">
        <x:v>0</x:v>
      </x:c>
      <x:c r="K158" s="20" t="str">
        <x:v>0</x:v>
      </x:c>
      <x:c r="L158" s="20" t="str">
        <x:v>0</x:v>
      </x:c>
      <x:c r="M158" s="20" t="str">
        <x:v>0</x:v>
      </x:c>
      <x:c r="N158" s="20" t="str">
        <x:v>0</x:v>
      </x:c>
      <x:c r="O158" s="20" t="str">
        <x:v>0</x:v>
      </x:c>
      <x:c r="P158" s="20" t="str">
        <x:v>0</x:v>
      </x:c>
      <x:c r="Q158" s="20" t="str">
        <x:v>0</x:v>
      </x:c>
      <x:c r="R158" s="20" t="str">
        <x:v>0</x:v>
      </x:c>
      <x:c r="S158" s="20" t="str">
        <x:v>0</x:v>
      </x:c>
      <x:c r="T158" s="20" t="str">
        <x:v>0</x:v>
      </x:c>
      <x:c r="U158" s="20" t="str">
        <x:v>0</x:v>
      </x:c>
      <x:c r="V158" s="20" t="str">
        <x:v>0</x:v>
      </x:c>
      <x:c r="W158" s="20" t="str">
        <x:v>1</x:v>
      </x:c>
      <x:c r="X158" s="20" t="str">
        <x:v>0</x:v>
      </x:c>
      <x:c r="Y158" s="20" t="str">
        <x:v>0</x:v>
      </x:c>
      <x:c r="Z158" s="20" t="str">
        <x:v>0</x:v>
      </x:c>
      <x:c r="AA158" s="20" t="str">
        <x:v>0</x:v>
      </x:c>
      <x:c r="AB158" s="20" t="str">
        <x:v>0</x:v>
      </x:c>
      <x:c r="AC158" s="20" t="str">
        <x:v>0</x:v>
      </x:c>
      <x:c r="AD158" s="20" t="str">
        <x:v>0</x:v>
      </x:c>
      <x:c r="AE158" s="20" t="str">
        <x:v>0</x:v>
      </x:c>
    </x:row>
    <x:row r="159">
      <x:c r="A159" s="20" t="str">
        <x:v>haddaway2022_prisma2020_r_package</x:v>
      </x:c>
      <x:c r="B159" s="20" t="str">
        <x:v>2022</x:v>
      </x:c>
      <x:c r="C159" s="20" t="str">
        <x:v>PRISMA2020: An R Package and Shiny App for Producing PRISMA 2020-compliant Flow Diagrams</x:v>
      </x:c>
      <x:c r="D159" s="20" t="str">
        <x:v>08_Systematic_Review_Methods</x:v>
      </x:c>
      <x:c r="E159" s="20" t="str">
        <x:v>0</x:v>
      </x:c>
      <x:c r="F159" s="20" t="str">
        <x:v>0</x:v>
      </x:c>
      <x:c r="G159" s="20" t="str">
        <x:v>0</x:v>
      </x:c>
      <x:c r="H159" s="20" t="str">
        <x:v>0</x:v>
      </x:c>
      <x:c r="I159" s="20" t="str">
        <x:v>0</x:v>
      </x:c>
      <x:c r="J159" s="20" t="str">
        <x:v>0</x:v>
      </x:c>
      <x:c r="K159" s="20" t="str">
        <x:v>0</x:v>
      </x:c>
      <x:c r="L159" s="20" t="str">
        <x:v>0</x:v>
      </x:c>
      <x:c r="M159" s="20" t="str">
        <x:v>0</x:v>
      </x:c>
      <x:c r="N159" s="20" t="str">
        <x:v>0</x:v>
      </x:c>
      <x:c r="O159" s="20" t="str">
        <x:v>0</x:v>
      </x:c>
      <x:c r="P159" s="20" t="str">
        <x:v>0</x:v>
      </x:c>
      <x:c r="Q159" s="20" t="str">
        <x:v>0</x:v>
      </x:c>
      <x:c r="R159" s="20" t="str">
        <x:v>0</x:v>
      </x:c>
      <x:c r="S159" s="20" t="str">
        <x:v>0</x:v>
      </x:c>
      <x:c r="T159" s="20" t="str">
        <x:v>0</x:v>
      </x:c>
      <x:c r="U159" s="20" t="str">
        <x:v>0</x:v>
      </x:c>
      <x:c r="V159" s="20" t="str">
        <x:v>0</x:v>
      </x:c>
      <x:c r="W159" s="20" t="str">
        <x:v>1</x:v>
      </x:c>
      <x:c r="X159" s="20" t="str">
        <x:v>0</x:v>
      </x:c>
      <x:c r="Y159" s="20" t="str">
        <x:v>0</x:v>
      </x:c>
      <x:c r="Z159" s="20" t="str">
        <x:v>0</x:v>
      </x:c>
      <x:c r="AA159" s="20" t="str">
        <x:v>0</x:v>
      </x:c>
      <x:c r="AB159" s="20" t="str">
        <x:v>0</x:v>
      </x:c>
      <x:c r="AC159" s="20" t="str">
        <x:v>0</x:v>
      </x:c>
      <x:c r="AD159" s="20" t="str">
        <x:v>0</x:v>
      </x:c>
      <x:c r="AE159" s="20" t="str">
        <x:v>0</x:v>
      </x:c>
    </x:row>
    <x:row r="160">
      <x:c r="A160" s="20" t="str">
        <x:v>ouzzani2016_rayyan_web_mobile</x:v>
      </x:c>
      <x:c r="B160" s="20" t="str">
        <x:v>2016</x:v>
      </x:c>
      <x:c r="C160" s="20" t="str">
        <x:v>Rayyan: A Web and Mobile App for Systematic Reviews</x:v>
      </x:c>
      <x:c r="D160" s="20" t="str">
        <x:v>08_Systematic_Review_Methods</x:v>
      </x:c>
      <x:c r="E160" s="20" t="str">
        <x:v>0</x:v>
      </x:c>
      <x:c r="F160" s="20" t="str">
        <x:v>0</x:v>
      </x:c>
      <x:c r="G160" s="20" t="str">
        <x:v>0</x:v>
      </x:c>
      <x:c r="H160" s="20" t="str">
        <x:v>0</x:v>
      </x:c>
      <x:c r="I160" s="20" t="str">
        <x:v>0</x:v>
      </x:c>
      <x:c r="J160" s="20" t="str">
        <x:v>0</x:v>
      </x:c>
      <x:c r="K160" s="20" t="str">
        <x:v>0</x:v>
      </x:c>
      <x:c r="L160" s="20" t="str">
        <x:v>0</x:v>
      </x:c>
      <x:c r="M160" s="20" t="str">
        <x:v>0</x:v>
      </x:c>
      <x:c r="N160" s="20" t="str">
        <x:v>0</x:v>
      </x:c>
      <x:c r="O160" s="20" t="str">
        <x:v>0</x:v>
      </x:c>
      <x:c r="P160" s="20" t="str">
        <x:v>0</x:v>
      </x:c>
      <x:c r="Q160" s="20" t="str">
        <x:v>0</x:v>
      </x:c>
      <x:c r="R160" s="20" t="str">
        <x:v>0</x:v>
      </x:c>
      <x:c r="S160" s="20" t="str">
        <x:v>0</x:v>
      </x:c>
      <x:c r="T160" s="20" t="str">
        <x:v>0</x:v>
      </x:c>
      <x:c r="U160" s="20" t="str">
        <x:v>0</x:v>
      </x:c>
      <x:c r="V160" s="20" t="str">
        <x:v>0</x:v>
      </x:c>
      <x:c r="W160" s="20" t="str">
        <x:v>1</x:v>
      </x:c>
      <x:c r="X160" s="20" t="str">
        <x:v>0</x:v>
      </x:c>
      <x:c r="Y160" s="20" t="str">
        <x:v>0</x:v>
      </x:c>
      <x:c r="Z160" s="20" t="str">
        <x:v>0</x:v>
      </x:c>
      <x:c r="AA160" s="20" t="str">
        <x:v>0</x:v>
      </x:c>
      <x:c r="AB160" s="20" t="str">
        <x:v>0</x:v>
      </x:c>
      <x:c r="AC160" s="20" t="str">
        <x:v>0</x:v>
      </x:c>
      <x:c r="AD160" s="20" t="str">
        <x:v>0</x:v>
      </x:c>
      <x:c r="AE160" s="20" t="str">
        <x:v>0</x:v>
      </x:c>
    </x:row>
    <x:row r="161">
      <x:c r="A161" s="20" t="str">
        <x:v>aria2017_bibliometrix_r_tool</x:v>
      </x:c>
      <x:c r="B161" s="20" t="str">
        <x:v>2017</x:v>
      </x:c>
      <x:c r="C161" s="20" t="str">
        <x:v>Bibliometrix: An R-tool for Comprehensive Science Mapping Analysis</x:v>
      </x:c>
      <x:c r="D161" s="20" t="str">
        <x:v>08_Systematic_Review_Methods</x:v>
      </x:c>
      <x:c r="E161" s="20" t="str">
        <x:v>0</x:v>
      </x:c>
      <x:c r="F161" s="20" t="str">
        <x:v>0</x:v>
      </x:c>
      <x:c r="G161" s="20" t="str">
        <x:v>0</x:v>
      </x:c>
      <x:c r="H161" s="20" t="str">
        <x:v>0</x:v>
      </x:c>
      <x:c r="I161" s="20" t="str">
        <x:v>0</x:v>
      </x:c>
      <x:c r="J161" s="20" t="str">
        <x:v>0</x:v>
      </x:c>
      <x:c r="K161" s="20" t="str">
        <x:v>0</x:v>
      </x:c>
      <x:c r="L161" s="20" t="str">
        <x:v>0</x:v>
      </x:c>
      <x:c r="M161" s="20" t="str">
        <x:v>0</x:v>
      </x:c>
      <x:c r="N161" s="20" t="str">
        <x:v>0</x:v>
      </x:c>
      <x:c r="O161" s="20" t="str">
        <x:v>0</x:v>
      </x:c>
      <x:c r="P161" s="20" t="str">
        <x:v>0</x:v>
      </x:c>
      <x:c r="Q161" s="20" t="str">
        <x:v>0</x:v>
      </x:c>
      <x:c r="R161" s="20" t="str">
        <x:v>0</x:v>
      </x:c>
      <x:c r="S161" s="20" t="str">
        <x:v>0</x:v>
      </x:c>
      <x:c r="T161" s="20" t="str">
        <x:v>0</x:v>
      </x:c>
      <x:c r="U161" s="20" t="str">
        <x:v>0</x:v>
      </x:c>
      <x:c r="V161" s="20" t="str">
        <x:v>0</x:v>
      </x:c>
      <x:c r="W161" s="20" t="str">
        <x:v>1</x:v>
      </x:c>
      <x:c r="X161" s="20" t="str">
        <x:v>0</x:v>
      </x:c>
      <x:c r="Y161" s="20" t="str">
        <x:v>0</x:v>
      </x:c>
      <x:c r="Z161" s="20" t="str">
        <x:v>0</x:v>
      </x:c>
      <x:c r="AA161" s="20" t="str">
        <x:v>0</x:v>
      </x:c>
      <x:c r="AB161" s="20" t="str">
        <x:v>0</x:v>
      </x:c>
      <x:c r="AC161" s="20" t="str">
        <x:v>0</x:v>
      </x:c>
      <x:c r="AD161" s="20" t="str">
        <x:v>0</x:v>
      </x:c>
      <x:c r="AE161" s="20" t="str">
        <x:v>0</x:v>
      </x:c>
    </x:row>
    <x:row r="162">
      <x:c r="A162" s="20" t="str">
        <x:v>vaneck2010_software_vosviewer_computer</x:v>
      </x:c>
      <x:c r="B162" s="20" t="str">
        <x:v>2010</x:v>
      </x:c>
      <x:c r="C162" s="20" t="str">
        <x:v>Software Survey: VOSviewer, a Computer Program for Bibliometric Mapping</x:v>
      </x:c>
      <x:c r="D162" s="20" t="str">
        <x:v>08_Systematic_Review_Methods</x:v>
      </x:c>
      <x:c r="E162" s="20" t="str">
        <x:v>0</x:v>
      </x:c>
      <x:c r="F162" s="20" t="str">
        <x:v>0</x:v>
      </x:c>
      <x:c r="G162" s="20" t="str">
        <x:v>0</x:v>
      </x:c>
      <x:c r="H162" s="20" t="str">
        <x:v>0</x:v>
      </x:c>
      <x:c r="I162" s="20" t="str">
        <x:v>0</x:v>
      </x:c>
      <x:c r="J162" s="20" t="str">
        <x:v>0</x:v>
      </x:c>
      <x:c r="K162" s="20" t="str">
        <x:v>0</x:v>
      </x:c>
      <x:c r="L162" s="20" t="str">
        <x:v>0</x:v>
      </x:c>
      <x:c r="M162" s="20" t="str">
        <x:v>0</x:v>
      </x:c>
      <x:c r="N162" s="20" t="str">
        <x:v>0</x:v>
      </x:c>
      <x:c r="O162" s="20" t="str">
        <x:v>0</x:v>
      </x:c>
      <x:c r="P162" s="20" t="str">
        <x:v>0</x:v>
      </x:c>
      <x:c r="Q162" s="20" t="str">
        <x:v>0</x:v>
      </x:c>
      <x:c r="R162" s="20" t="str">
        <x:v>0</x:v>
      </x:c>
      <x:c r="S162" s="20" t="str">
        <x:v>0</x:v>
      </x:c>
      <x:c r="T162" s="20" t="str">
        <x:v>0</x:v>
      </x:c>
      <x:c r="U162" s="20" t="str">
        <x:v>0</x:v>
      </x:c>
      <x:c r="V162" s="20" t="str">
        <x:v>0</x:v>
      </x:c>
      <x:c r="W162" s="20" t="str">
        <x:v>1</x:v>
      </x:c>
      <x:c r="X162" s="20" t="str">
        <x:v>0</x:v>
      </x:c>
      <x:c r="Y162" s="20" t="str">
        <x:v>0</x:v>
      </x:c>
      <x:c r="Z162" s="20" t="str">
        <x:v>0</x:v>
      </x:c>
      <x:c r="AA162" s="20" t="str">
        <x:v>0</x:v>
      </x:c>
      <x:c r="AB162" s="20" t="str">
        <x:v>0</x:v>
      </x:c>
      <x:c r="AC162" s="20" t="str">
        <x:v>0</x:v>
      </x:c>
      <x:c r="AD162" s="20" t="str">
        <x:v>0</x:v>
      </x:c>
      <x:c r="AE162" s="20" t="str">
        <x:v>0</x:v>
      </x:c>
    </x:row>
    <x:row r="163">
      <x:c r="A163" s="20" t="str">
        <x:v>moher2009_preferred_reporting_items</x:v>
      </x:c>
      <x:c r="B163" s="20" t="str">
        <x:v>2009</x:v>
      </x:c>
      <x:c r="C163" s="20" t="str">
        <x:v>Preferred Reporting Items for Systematic Reviews and Meta-Analyses: The PRISMA Statement</x:v>
      </x:c>
      <x:c r="D163" s="20" t="str">
        <x:v>08_Systematic_Review_Methods</x:v>
      </x:c>
      <x:c r="E163" s="20" t="str">
        <x:v>0</x:v>
      </x:c>
      <x:c r="F163" s="20" t="str">
        <x:v>0</x:v>
      </x:c>
      <x:c r="G163" s="20" t="str">
        <x:v>0</x:v>
      </x:c>
      <x:c r="H163" s="20" t="str">
        <x:v>0</x:v>
      </x:c>
      <x:c r="I163" s="20" t="str">
        <x:v>0</x:v>
      </x:c>
      <x:c r="J163" s="20" t="str">
        <x:v>0</x:v>
      </x:c>
      <x:c r="K163" s="20" t="str">
        <x:v>0</x:v>
      </x:c>
      <x:c r="L163" s="20" t="str">
        <x:v>0</x:v>
      </x:c>
      <x:c r="M163" s="20" t="str">
        <x:v>0</x:v>
      </x:c>
      <x:c r="N163" s="20" t="str">
        <x:v>0</x:v>
      </x:c>
      <x:c r="O163" s="20" t="str">
        <x:v>0</x:v>
      </x:c>
      <x:c r="P163" s="20" t="str">
        <x:v>0</x:v>
      </x:c>
      <x:c r="Q163" s="20" t="str">
        <x:v>0</x:v>
      </x:c>
      <x:c r="R163" s="20" t="str">
        <x:v>0</x:v>
      </x:c>
      <x:c r="S163" s="20" t="str">
        <x:v>0</x:v>
      </x:c>
      <x:c r="T163" s="20" t="str">
        <x:v>0</x:v>
      </x:c>
      <x:c r="U163" s="20" t="str">
        <x:v>0</x:v>
      </x:c>
      <x:c r="V163" s="20" t="str">
        <x:v>0</x:v>
      </x:c>
      <x:c r="W163" s="20" t="str">
        <x:v>1</x:v>
      </x:c>
      <x:c r="X163" s="20" t="str">
        <x:v>0</x:v>
      </x:c>
      <x:c r="Y163" s="20" t="str">
        <x:v>0</x:v>
      </x:c>
      <x:c r="Z163" s="20" t="str">
        <x:v>0</x:v>
      </x:c>
      <x:c r="AA163" s="20" t="str">
        <x:v>0</x:v>
      </x:c>
      <x:c r="AB163" s="20" t="str">
        <x:v>0</x:v>
      </x:c>
      <x:c r="AC163" s="20" t="str">
        <x:v>0</x:v>
      </x:c>
      <x:c r="AD163" s="20" t="str">
        <x:v>0</x:v>
      </x:c>
      <x:c r="AE163" s="20" t="str">
        <x:v>0</x:v>
      </x:c>
    </x:row>
    <x:row r="164">
      <x:c r="A164" s="20" t="str">
        <x:v>higgins2023_cochrane_handbook_systematic</x:v>
      </x:c>
      <x:c r="B164" s="20" t="str">
        <x:v>2023</x:v>
      </x:c>
      <x:c r="C164" s="20" t="str">
        <x:v>Cochrane Handbook for Systematic Reviews of Interventions</x:v>
      </x:c>
      <x:c r="D164" s="20" t="str">
        <x:v>08_Systematic_Review_Methods</x:v>
      </x:c>
      <x:c r="E164" s="20" t="str">
        <x:v>0</x:v>
      </x:c>
      <x:c r="F164" s="20" t="str">
        <x:v>0</x:v>
      </x:c>
      <x:c r="G164" s="20" t="str">
        <x:v>0</x:v>
      </x:c>
      <x:c r="H164" s="20" t="str">
        <x:v>0</x:v>
      </x:c>
      <x:c r="I164" s="20" t="str">
        <x:v>0</x:v>
      </x:c>
      <x:c r="J164" s="20" t="str">
        <x:v>0</x:v>
      </x:c>
      <x:c r="K164" s="20" t="str">
        <x:v>0</x:v>
      </x:c>
      <x:c r="L164" s="20" t="str">
        <x:v>0</x:v>
      </x:c>
      <x:c r="M164" s="20" t="str">
        <x:v>0</x:v>
      </x:c>
      <x:c r="N164" s="20" t="str">
        <x:v>0</x:v>
      </x:c>
      <x:c r="O164" s="20" t="str">
        <x:v>0</x:v>
      </x:c>
      <x:c r="P164" s="20" t="str">
        <x:v>0</x:v>
      </x:c>
      <x:c r="Q164" s="20" t="str">
        <x:v>0</x:v>
      </x:c>
      <x:c r="R164" s="20" t="str">
        <x:v>0</x:v>
      </x:c>
      <x:c r="S164" s="20" t="str">
        <x:v>0</x:v>
      </x:c>
      <x:c r="T164" s="20" t="str">
        <x:v>0</x:v>
      </x:c>
      <x:c r="U164" s="20" t="str">
        <x:v>0</x:v>
      </x:c>
      <x:c r="V164" s="20" t="str">
        <x:v>0</x:v>
      </x:c>
      <x:c r="W164" s="20" t="str">
        <x:v>1</x:v>
      </x:c>
      <x:c r="X164" s="20" t="str">
        <x:v>0</x:v>
      </x:c>
      <x:c r="Y164" s="20" t="str">
        <x:v>0</x:v>
      </x:c>
      <x:c r="Z164" s="20" t="str">
        <x:v>0</x:v>
      </x:c>
      <x:c r="AA164" s="20" t="str">
        <x:v>0</x:v>
      </x:c>
      <x:c r="AB164" s="20" t="str">
        <x:v>0</x:v>
      </x:c>
      <x:c r="AC164" s="20" t="str">
        <x:v>0</x:v>
      </x:c>
      <x:c r="AD164" s="20" t="str">
        <x:v>0</x:v>
      </x:c>
      <x:c r="AE164" s="20" t="str">
        <x:v>0</x:v>
      </x:c>
    </x:row>
    <x:row r="165">
      <x:c r="A165" s="20" t="str">
        <x:v>aromataris2020_jbi_manual_evidence</x:v>
      </x:c>
      <x:c r="B165" s="20" t="str">
        <x:v>2020</x:v>
      </x:c>
      <x:c r="C165" s="20" t="str">
        <x:v>JBI Manual for Evidence Synthesis</x:v>
      </x:c>
      <x:c r="D165" s="20" t="str">
        <x:v>08_Systematic_Review_Methods</x:v>
      </x:c>
      <x:c r="E165" s="20" t="str">
        <x:v>0</x:v>
      </x:c>
      <x:c r="F165" s="20" t="str">
        <x:v>0</x:v>
      </x:c>
      <x:c r="G165" s="20" t="str">
        <x:v>0</x:v>
      </x:c>
      <x:c r="H165" s="20" t="str">
        <x:v>0</x:v>
      </x:c>
      <x:c r="I165" s="20" t="str">
        <x:v>0</x:v>
      </x:c>
      <x:c r="J165" s="20" t="str">
        <x:v>0</x:v>
      </x:c>
      <x:c r="K165" s="20" t="str">
        <x:v>0</x:v>
      </x:c>
      <x:c r="L165" s="20" t="str">
        <x:v>0</x:v>
      </x:c>
      <x:c r="M165" s="20" t="str">
        <x:v>0</x:v>
      </x:c>
      <x:c r="N165" s="20" t="str">
        <x:v>0</x:v>
      </x:c>
      <x:c r="O165" s="20" t="str">
        <x:v>0</x:v>
      </x:c>
      <x:c r="P165" s="20" t="str">
        <x:v>0</x:v>
      </x:c>
      <x:c r="Q165" s="20" t="str">
        <x:v>0</x:v>
      </x:c>
      <x:c r="R165" s="20" t="str">
        <x:v>0</x:v>
      </x:c>
      <x:c r="S165" s="20" t="str">
        <x:v>0</x:v>
      </x:c>
      <x:c r="T165" s="20" t="str">
        <x:v>0</x:v>
      </x:c>
      <x:c r="U165" s="20" t="str">
        <x:v>0</x:v>
      </x:c>
      <x:c r="V165" s="20" t="str">
        <x:v>0</x:v>
      </x:c>
      <x:c r="W165" s="20" t="str">
        <x:v>1</x:v>
      </x:c>
      <x:c r="X165" s="20" t="str">
        <x:v>0</x:v>
      </x:c>
      <x:c r="Y165" s="20" t="str">
        <x:v>0</x:v>
      </x:c>
      <x:c r="Z165" s="20" t="str">
        <x:v>0</x:v>
      </x:c>
      <x:c r="AA165" s="20" t="str">
        <x:v>0</x:v>
      </x:c>
      <x:c r="AB165" s="20" t="str">
        <x:v>0</x:v>
      </x:c>
      <x:c r="AC165" s="20" t="str">
        <x:v>0</x:v>
      </x:c>
      <x:c r="AD165" s="20" t="str">
        <x:v>0</x:v>
      </x:c>
      <x:c r="AE165" s="20" t="str">
        <x:v>0</x:v>
      </x:c>
    </x:row>
    <x:row r="166">
      <x:c r="A166" s="20" t="str">
        <x:v>hong2018_mixed_appraisal_tool</x:v>
      </x:c>
      <x:c r="B166" s="20" t="str">
        <x:v>2018</x:v>
      </x:c>
      <x:c r="C166" s="20" t="str">
        <x:v>Mixed Methods Appraisal Tool (MMAT), Version 2018</x:v>
      </x:c>
      <x:c r="D166" s="20" t="str">
        <x:v>08_Systematic_Review_Methods</x:v>
      </x:c>
      <x:c r="E166" s="20" t="str">
        <x:v>0</x:v>
      </x:c>
      <x:c r="F166" s="20" t="str">
        <x:v>0</x:v>
      </x:c>
      <x:c r="G166" s="20" t="str">
        <x:v>0</x:v>
      </x:c>
      <x:c r="H166" s="20" t="str">
        <x:v>0</x:v>
      </x:c>
      <x:c r="I166" s="20" t="str">
        <x:v>0</x:v>
      </x:c>
      <x:c r="J166" s="20" t="str">
        <x:v>0</x:v>
      </x:c>
      <x:c r="K166" s="20" t="str">
        <x:v>0</x:v>
      </x:c>
      <x:c r="L166" s="20" t="str">
        <x:v>0</x:v>
      </x:c>
      <x:c r="M166" s="20" t="str">
        <x:v>0</x:v>
      </x:c>
      <x:c r="N166" s="20" t="str">
        <x:v>0</x:v>
      </x:c>
      <x:c r="O166" s="20" t="str">
        <x:v>0</x:v>
      </x:c>
      <x:c r="P166" s="20" t="str">
        <x:v>0</x:v>
      </x:c>
      <x:c r="Q166" s="20" t="str">
        <x:v>0</x:v>
      </x:c>
      <x:c r="R166" s="20" t="str">
        <x:v>0</x:v>
      </x:c>
      <x:c r="S166" s="20" t="str">
        <x:v>0</x:v>
      </x:c>
      <x:c r="T166" s="20" t="str">
        <x:v>0</x:v>
      </x:c>
      <x:c r="U166" s="20" t="str">
        <x:v>0</x:v>
      </x:c>
      <x:c r="V166" s="20" t="str">
        <x:v>0</x:v>
      </x:c>
      <x:c r="W166" s="20" t="str">
        <x:v>1</x:v>
      </x:c>
      <x:c r="X166" s="20" t="str">
        <x:v>0</x:v>
      </x:c>
      <x:c r="Y166" s="20" t="str">
        <x:v>0</x:v>
      </x:c>
      <x:c r="Z166" s="20" t="str">
        <x:v>0</x:v>
      </x:c>
      <x:c r="AA166" s="20" t="str">
        <x:v>0</x:v>
      </x:c>
      <x:c r="AB166" s="20" t="str">
        <x:v>0</x:v>
      </x:c>
      <x:c r="AC166" s="20" t="str">
        <x:v>0</x:v>
      </x:c>
      <x:c r="AD166" s="20" t="str">
        <x:v>0</x:v>
      </x:c>
      <x:c r="AE166" s="20" t="str">
        <x:v>0</x:v>
      </x:c>
    </x:row>
    <x:row r="167">
      <x:c r="A167" s="20" t="str">
        <x:v>devlin2019_bert_pre_training</x:v>
      </x:c>
      <x:c r="B167" s="20" t="str">
        <x:v>2019</x:v>
      </x:c>
      <x:c r="C167" s="20" t="str">
        <x:v>BERT: Pre-training of Deep Bidirectional Transformers for Language Understanding</x:v>
      </x:c>
      <x:c r="D167" s="20" t="str">
        <x:v>10_LLM_Backbones_LowResource</x:v>
      </x:c>
      <x:c r="E167" s="20" t="str">
        <x:v>0</x:v>
      </x:c>
      <x:c r="F167" s="20" t="str">
        <x:v>0</x:v>
      </x:c>
      <x:c r="G167" s="20" t="str">
        <x:v>0</x:v>
      </x:c>
      <x:c r="H167" s="20" t="str">
        <x:v>0</x:v>
      </x:c>
      <x:c r="I167" s="20" t="str">
        <x:v>0</x:v>
      </x:c>
      <x:c r="J167" s="20" t="str">
        <x:v>0</x:v>
      </x:c>
      <x:c r="K167" s="20" t="str">
        <x:v>0</x:v>
      </x:c>
      <x:c r="L167" s="20" t="str">
        <x:v>0</x:v>
      </x:c>
      <x:c r="M167" s="20" t="str">
        <x:v>0</x:v>
      </x:c>
      <x:c r="N167" s="20" t="str">
        <x:v>0</x:v>
      </x:c>
      <x:c r="O167" s="20" t="str">
        <x:v>0</x:v>
      </x:c>
      <x:c r="P167" s="20" t="str">
        <x:v>0</x:v>
      </x:c>
      <x:c r="Q167" s="20" t="str">
        <x:v>0</x:v>
      </x:c>
      <x:c r="R167" s="20" t="str">
        <x:v>0</x:v>
      </x:c>
      <x:c r="S167" s="20" t="str">
        <x:v>0</x:v>
      </x:c>
      <x:c r="T167" s="20" t="str">
        <x:v>0</x:v>
      </x:c>
      <x:c r="U167" s="20" t="str">
        <x:v>0</x:v>
      </x:c>
      <x:c r="V167" s="20" t="str">
        <x:v>0</x:v>
      </x:c>
      <x:c r="W167" s="20" t="str">
        <x:v>1</x:v>
      </x:c>
      <x:c r="X167" s="20" t="str">
        <x:v>0</x:v>
      </x:c>
      <x:c r="Y167" s="20" t="str">
        <x:v>0</x:v>
      </x:c>
      <x:c r="Z167" s="20" t="str">
        <x:v>0</x:v>
      </x:c>
      <x:c r="AA167" s="20" t="str">
        <x:v>0</x:v>
      </x:c>
      <x:c r="AB167" s="20" t="str">
        <x:v>0</x:v>
      </x:c>
      <x:c r="AC167" s="20" t="str">
        <x:v>0</x:v>
      </x:c>
      <x:c r="AD167" s="20" t="str">
        <x:v>0</x:v>
      </x:c>
      <x:c r="AE167" s="20" t="str">
        <x:v>0</x:v>
      </x:c>
    </x:row>
    <x:row r="168">
      <x:c r="A168" s="20" t="str">
        <x:v>raffel2020_exploring_limits_transfer</x:v>
      </x:c>
      <x:c r="B168" s="20" t="str">
        <x:v>2020</x:v>
      </x:c>
      <x:c r="C168" s="20" t="str">
        <x:v>Exploring the Limits of Transfer Learning with a Unified Text-to-Text Transformer</x:v>
      </x:c>
      <x:c r="D168" s="20" t="str">
        <x:v>10_LLM_Backbones_LowResource</x:v>
      </x:c>
      <x:c r="E168" s="20" t="str">
        <x:v>0</x:v>
      </x:c>
      <x:c r="F168" s="20" t="str">
        <x:v>0</x:v>
      </x:c>
      <x:c r="G168" s="20" t="str">
        <x:v>0</x:v>
      </x:c>
      <x:c r="H168" s="20" t="str">
        <x:v>0</x:v>
      </x:c>
      <x:c r="I168" s="20" t="str">
        <x:v>0</x:v>
      </x:c>
      <x:c r="J168" s="20" t="str">
        <x:v>0</x:v>
      </x:c>
      <x:c r="K168" s="20" t="str">
        <x:v>0</x:v>
      </x:c>
      <x:c r="L168" s="20" t="str">
        <x:v>0</x:v>
      </x:c>
      <x:c r="M168" s="20" t="str">
        <x:v>0</x:v>
      </x:c>
      <x:c r="N168" s="20" t="str">
        <x:v>0</x:v>
      </x:c>
      <x:c r="O168" s="20" t="str">
        <x:v>0</x:v>
      </x:c>
      <x:c r="P168" s="20" t="str">
        <x:v>0</x:v>
      </x:c>
      <x:c r="Q168" s="20" t="str">
        <x:v>0</x:v>
      </x:c>
      <x:c r="R168" s="20" t="str">
        <x:v>0</x:v>
      </x:c>
      <x:c r="S168" s="20" t="str">
        <x:v>0</x:v>
      </x:c>
      <x:c r="T168" s="20" t="str">
        <x:v>0</x:v>
      </x:c>
      <x:c r="U168" s="20" t="str">
        <x:v>0</x:v>
      </x:c>
      <x:c r="V168" s="20" t="str">
        <x:v>0</x:v>
      </x:c>
      <x:c r="W168" s="20" t="str">
        <x:v>1</x:v>
      </x:c>
      <x:c r="X168" s="20" t="str">
        <x:v>0</x:v>
      </x:c>
      <x:c r="Y168" s="20" t="str">
        <x:v>0</x:v>
      </x:c>
      <x:c r="Z168" s="20" t="str">
        <x:v>0</x:v>
      </x:c>
      <x:c r="AA168" s="20" t="str">
        <x:v>0</x:v>
      </x:c>
      <x:c r="AB168" s="20" t="str">
        <x:v>0</x:v>
      </x:c>
      <x:c r="AC168" s="20" t="str">
        <x:v>0</x:v>
      </x:c>
      <x:c r="AD168" s="20" t="str">
        <x:v>0</x:v>
      </x:c>
      <x:c r="AE168" s="20" t="str">
        <x:v>0</x:v>
      </x:c>
    </x:row>
    <x:row r="169">
      <x:c r="A169" s="20" t="str">
        <x:v>lewis2020_bart_denoising_sequence</x:v>
      </x:c>
      <x:c r="B169" s="20" t="str">
        <x:v>2020</x:v>
      </x:c>
      <x:c r="C169" s="20" t="str">
        <x:v>BART: Denoising Sequence-to-Sequence Pre-training for Natural Language Generation, Translation, and Comprehension</x:v>
      </x:c>
      <x:c r="D169" s="20" t="str">
        <x:v>10_LLM_Backbones_LowResource</x:v>
      </x:c>
      <x:c r="E169" s="20" t="str">
        <x:v>0</x:v>
      </x:c>
      <x:c r="F169" s="20" t="str">
        <x:v>0</x:v>
      </x:c>
      <x:c r="G169" s="20" t="str">
        <x:v>0</x:v>
      </x:c>
      <x:c r="H169" s="20" t="str">
        <x:v>0</x:v>
      </x:c>
      <x:c r="I169" s="20" t="str">
        <x:v>0</x:v>
      </x:c>
      <x:c r="J169" s="20" t="str">
        <x:v>0</x:v>
      </x:c>
      <x:c r="K169" s="20" t="str">
        <x:v>0</x:v>
      </x:c>
      <x:c r="L169" s="20" t="str">
        <x:v>0</x:v>
      </x:c>
      <x:c r="M169" s="20" t="str">
        <x:v>0</x:v>
      </x:c>
      <x:c r="N169" s="20" t="str">
        <x:v>0</x:v>
      </x:c>
      <x:c r="O169" s="20" t="str">
        <x:v>0</x:v>
      </x:c>
      <x:c r="P169" s="20" t="str">
        <x:v>0</x:v>
      </x:c>
      <x:c r="Q169" s="20" t="str">
        <x:v>0</x:v>
      </x:c>
      <x:c r="R169" s="20" t="str">
        <x:v>0</x:v>
      </x:c>
      <x:c r="S169" s="20" t="str">
        <x:v>0</x:v>
      </x:c>
      <x:c r="T169" s="20" t="str">
        <x:v>0</x:v>
      </x:c>
      <x:c r="U169" s="20" t="str">
        <x:v>0</x:v>
      </x:c>
      <x:c r="V169" s="20" t="str">
        <x:v>0</x:v>
      </x:c>
      <x:c r="W169" s="20" t="str">
        <x:v>1</x:v>
      </x:c>
      <x:c r="X169" s="20" t="str">
        <x:v>0</x:v>
      </x:c>
      <x:c r="Y169" s="20" t="str">
        <x:v>0</x:v>
      </x:c>
      <x:c r="Z169" s="20" t="str">
        <x:v>0</x:v>
      </x:c>
      <x:c r="AA169" s="20" t="str">
        <x:v>0</x:v>
      </x:c>
      <x:c r="AB169" s="20" t="str">
        <x:v>0</x:v>
      </x:c>
      <x:c r="AC169" s="20" t="str">
        <x:v>0</x:v>
      </x:c>
      <x:c r="AD169" s="20" t="str">
        <x:v>0</x:v>
      </x:c>
      <x:c r="AE169" s="20" t="str">
        <x:v>0</x:v>
      </x:c>
    </x:row>
    <x:row r="170">
      <x:c r="A170" s="20" t="str">
        <x:v>xue2021_mt5_massively_multilingual</x:v>
      </x:c>
      <x:c r="B170" s="20" t="str">
        <x:v>2021</x:v>
      </x:c>
      <x:c r="C170" s="20" t="str">
        <x:v>mT5: A Massively Multilingual Pre-trained Text-to-Text Transformer</x:v>
      </x:c>
      <x:c r="D170" s="20" t="str">
        <x:v>10_LLM_Backbones_LowResource</x:v>
      </x:c>
      <x:c r="E170" s="20" t="str">
        <x:v>0</x:v>
      </x:c>
      <x:c r="F170" s="20" t="str">
        <x:v>0</x:v>
      </x:c>
      <x:c r="G170" s="20" t="str">
        <x:v>0</x:v>
      </x:c>
      <x:c r="H170" s="20" t="str">
        <x:v>0</x:v>
      </x:c>
      <x:c r="I170" s="20" t="str">
        <x:v>0</x:v>
      </x:c>
      <x:c r="J170" s="20" t="str">
        <x:v>0</x:v>
      </x:c>
      <x:c r="K170" s="20" t="str">
        <x:v>0</x:v>
      </x:c>
      <x:c r="L170" s="20" t="str">
        <x:v>0</x:v>
      </x:c>
      <x:c r="M170" s="20" t="str">
        <x:v>0</x:v>
      </x:c>
      <x:c r="N170" s="20" t="str">
        <x:v>0</x:v>
      </x:c>
      <x:c r="O170" s="20" t="str">
        <x:v>0</x:v>
      </x:c>
      <x:c r="P170" s="20" t="str">
        <x:v>0</x:v>
      </x:c>
      <x:c r="Q170" s="20" t="str">
        <x:v>0</x:v>
      </x:c>
      <x:c r="R170" s="20" t="str">
        <x:v>0</x:v>
      </x:c>
      <x:c r="S170" s="20" t="str">
        <x:v>0</x:v>
      </x:c>
      <x:c r="T170" s="20" t="str">
        <x:v>0</x:v>
      </x:c>
      <x:c r="U170" s="20" t="str">
        <x:v>0</x:v>
      </x:c>
      <x:c r="V170" s="20" t="str">
        <x:v>0</x:v>
      </x:c>
      <x:c r="W170" s="20" t="str">
        <x:v>1</x:v>
      </x:c>
      <x:c r="X170" s="20" t="str">
        <x:v>0</x:v>
      </x:c>
      <x:c r="Y170" s="20" t="str">
        <x:v>0</x:v>
      </x:c>
      <x:c r="Z170" s="20" t="str">
        <x:v>0</x:v>
      </x:c>
      <x:c r="AA170" s="20" t="str">
        <x:v>0</x:v>
      </x:c>
      <x:c r="AB170" s="20" t="str">
        <x:v>0</x:v>
      </x:c>
      <x:c r="AC170" s="20" t="str">
        <x:v>0</x:v>
      </x:c>
      <x:c r="AD170" s="20" t="str">
        <x:v>0</x:v>
      </x:c>
      <x:c r="AE170" s="20" t="str">
        <x:v>0</x:v>
      </x:c>
    </x:row>
    <x:row r="171">
      <x:c r="A171" s="20" t="str">
        <x:v>liu2020_multilingual_denoising_pre</x:v>
      </x:c>
      <x:c r="B171" s="20" t="str">
        <x:v>2020</x:v>
      </x:c>
      <x:c r="C171" s="20" t="str">
        <x:v>Multilingual Denoising Pre-training for Neural Machine Translation</x:v>
      </x:c>
      <x:c r="D171" s="20" t="str">
        <x:v>10_LLM_Backbones_LowResource</x:v>
      </x:c>
      <x:c r="E171" s="20" t="str">
        <x:v>0</x:v>
      </x:c>
      <x:c r="F171" s="20" t="str">
        <x:v>0</x:v>
      </x:c>
      <x:c r="G171" s="20" t="str">
        <x:v>0</x:v>
      </x:c>
      <x:c r="H171" s="20" t="str">
        <x:v>0</x:v>
      </x:c>
      <x:c r="I171" s="20" t="str">
        <x:v>0</x:v>
      </x:c>
      <x:c r="J171" s="20" t="str">
        <x:v>0</x:v>
      </x:c>
      <x:c r="K171" s="20" t="str">
        <x:v>0</x:v>
      </x:c>
      <x:c r="L171" s="20" t="str">
        <x:v>0</x:v>
      </x:c>
      <x:c r="M171" s="20" t="str">
        <x:v>0</x:v>
      </x:c>
      <x:c r="N171" s="20" t="str">
        <x:v>0</x:v>
      </x:c>
      <x:c r="O171" s="20" t="str">
        <x:v>0</x:v>
      </x:c>
      <x:c r="P171" s="20" t="str">
        <x:v>0</x:v>
      </x:c>
      <x:c r="Q171" s="20" t="str">
        <x:v>0</x:v>
      </x:c>
      <x:c r="R171" s="20" t="str">
        <x:v>0</x:v>
      </x:c>
      <x:c r="S171" s="20" t="str">
        <x:v>0</x:v>
      </x:c>
      <x:c r="T171" s="20" t="str">
        <x:v>0</x:v>
      </x:c>
      <x:c r="U171" s="20" t="str">
        <x:v>0</x:v>
      </x:c>
      <x:c r="V171" s="20" t="str">
        <x:v>0</x:v>
      </x:c>
      <x:c r="W171" s="20" t="str">
        <x:v>1</x:v>
      </x:c>
      <x:c r="X171" s="20" t="str">
        <x:v>0</x:v>
      </x:c>
      <x:c r="Y171" s="20" t="str">
        <x:v>0</x:v>
      </x:c>
      <x:c r="Z171" s="20" t="str">
        <x:v>0</x:v>
      </x:c>
      <x:c r="AA171" s="20" t="str">
        <x:v>0</x:v>
      </x:c>
      <x:c r="AB171" s="20" t="str">
        <x:v>0</x:v>
      </x:c>
      <x:c r="AC171" s="20" t="str">
        <x:v>0</x:v>
      </x:c>
      <x:c r="AD171" s="20" t="str">
        <x:v>0</x:v>
      </x:c>
      <x:c r="AE171" s="20" t="str">
        <x:v>0</x:v>
      </x:c>
    </x:row>
    <x:row r="172">
      <x:c r="A172" s="20" t="str">
        <x:v>conneau2020_unsupervised_cross_lingual</x:v>
      </x:c>
      <x:c r="B172" s="20" t="str">
        <x:v>2020</x:v>
      </x:c>
      <x:c r="C172" s="20" t="str">
        <x:v>Unsupervised Cross-lingual Representation Learning at Scale</x:v>
      </x:c>
      <x:c r="D172" s="20" t="str">
        <x:v>10_LLM_Backbones_LowResource</x:v>
      </x:c>
      <x:c r="E172" s="20" t="str">
        <x:v>0</x:v>
      </x:c>
      <x:c r="F172" s="20" t="str">
        <x:v>0</x:v>
      </x:c>
      <x:c r="G172" s="20" t="str">
        <x:v>0</x:v>
      </x:c>
      <x:c r="H172" s="20" t="str">
        <x:v>0</x:v>
      </x:c>
      <x:c r="I172" s="20" t="str">
        <x:v>0</x:v>
      </x:c>
      <x:c r="J172" s="20" t="str">
        <x:v>0</x:v>
      </x:c>
      <x:c r="K172" s="20" t="str">
        <x:v>0</x:v>
      </x:c>
      <x:c r="L172" s="20" t="str">
        <x:v>0</x:v>
      </x:c>
      <x:c r="M172" s="20" t="str">
        <x:v>0</x:v>
      </x:c>
      <x:c r="N172" s="20" t="str">
        <x:v>0</x:v>
      </x:c>
      <x:c r="O172" s="20" t="str">
        <x:v>0</x:v>
      </x:c>
      <x:c r="P172" s="20" t="str">
        <x:v>0</x:v>
      </x:c>
      <x:c r="Q172" s="20" t="str">
        <x:v>0</x:v>
      </x:c>
      <x:c r="R172" s="20" t="str">
        <x:v>0</x:v>
      </x:c>
      <x:c r="S172" s="20" t="str">
        <x:v>0</x:v>
      </x:c>
      <x:c r="T172" s="20" t="str">
        <x:v>0</x:v>
      </x:c>
      <x:c r="U172" s="20" t="str">
        <x:v>0</x:v>
      </x:c>
      <x:c r="V172" s="20" t="str">
        <x:v>0</x:v>
      </x:c>
      <x:c r="W172" s="20" t="str">
        <x:v>1</x:v>
      </x:c>
      <x:c r="X172" s="20" t="str">
        <x:v>0</x:v>
      </x:c>
      <x:c r="Y172" s="20" t="str">
        <x:v>0</x:v>
      </x:c>
      <x:c r="Z172" s="20" t="str">
        <x:v>0</x:v>
      </x:c>
      <x:c r="AA172" s="20" t="str">
        <x:v>0</x:v>
      </x:c>
      <x:c r="AB172" s="20" t="str">
        <x:v>0</x:v>
      </x:c>
      <x:c r="AC172" s="20" t="str">
        <x:v>0</x:v>
      </x:c>
      <x:c r="AD172" s="20" t="str">
        <x:v>0</x:v>
      </x:c>
      <x:c r="AE172" s="20" t="str">
        <x:v>0</x:v>
      </x:c>
    </x:row>
    <x:row r="173">
      <x:c r="A173" s="20" t="str">
        <x:v>pfeiffer2020_mad_x_adapter</x:v>
      </x:c>
      <x:c r="B173" s="20" t="str">
        <x:v>2020</x:v>
      </x:c>
      <x:c r="C173" s="20" t="str">
        <x:v>MAD-X: An Adapter-Based Framework for Multi-Task Cross-Lingual Transfer</x:v>
      </x:c>
      <x:c r="D173" s="20" t="str">
        <x:v>10_LLM_Backbones_LowResource</x:v>
      </x:c>
      <x:c r="E173" s="20" t="str">
        <x:v>0</x:v>
      </x:c>
      <x:c r="F173" s="20" t="str">
        <x:v>0</x:v>
      </x:c>
      <x:c r="G173" s="20" t="str">
        <x:v>0</x:v>
      </x:c>
      <x:c r="H173" s="20" t="str">
        <x:v>0</x:v>
      </x:c>
      <x:c r="I173" s="20" t="str">
        <x:v>0</x:v>
      </x:c>
      <x:c r="J173" s="20" t="str">
        <x:v>0</x:v>
      </x:c>
      <x:c r="K173" s="20" t="str">
        <x:v>0</x:v>
      </x:c>
      <x:c r="L173" s="20" t="str">
        <x:v>0</x:v>
      </x:c>
      <x:c r="M173" s="20" t="str">
        <x:v>0</x:v>
      </x:c>
      <x:c r="N173" s="20" t="str">
        <x:v>0</x:v>
      </x:c>
      <x:c r="O173" s="20" t="str">
        <x:v>0</x:v>
      </x:c>
      <x:c r="P173" s="20" t="str">
        <x:v>0</x:v>
      </x:c>
      <x:c r="Q173" s="20" t="str">
        <x:v>0</x:v>
      </x:c>
      <x:c r="R173" s="20" t="str">
        <x:v>0</x:v>
      </x:c>
      <x:c r="S173" s="20" t="str">
        <x:v>0</x:v>
      </x:c>
      <x:c r="T173" s="20" t="str">
        <x:v>0</x:v>
      </x:c>
      <x:c r="U173" s="20" t="str">
        <x:v>0</x:v>
      </x:c>
      <x:c r="V173" s="20" t="str">
        <x:v>0</x:v>
      </x:c>
      <x:c r="W173" s="20" t="str">
        <x:v>1</x:v>
      </x:c>
      <x:c r="X173" s="20" t="str">
        <x:v>0</x:v>
      </x:c>
      <x:c r="Y173" s="20" t="str">
        <x:v>0</x:v>
      </x:c>
      <x:c r="Z173" s="20" t="str">
        <x:v>0</x:v>
      </x:c>
      <x:c r="AA173" s="20" t="str">
        <x:v>0</x:v>
      </x:c>
      <x:c r="AB173" s="20" t="str">
        <x:v>0</x:v>
      </x:c>
      <x:c r="AC173" s="20" t="str">
        <x:v>0</x:v>
      </x:c>
      <x:c r="AD173" s="20" t="str">
        <x:v>0</x:v>
      </x:c>
      <x:c r="AE173" s="20" t="str">
        <x:v>0</x:v>
      </x:c>
    </x:row>
    <x:row r="174">
      <x:c r="A174" s="20" t="str">
        <x:v>houlsby2019_parameter_efficient_transfer</x:v>
      </x:c>
      <x:c r="B174" s="20" t="str">
        <x:v>2019</x:v>
      </x:c>
      <x:c r="C174" s="20" t="str">
        <x:v>Parameter-Efficient Transfer Learning for NLP</x:v>
      </x:c>
      <x:c r="D174" s="20" t="str">
        <x:v>10_LLM_Backbones_LowResource</x:v>
      </x:c>
      <x:c r="E174" s="20" t="str">
        <x:v>0</x:v>
      </x:c>
      <x:c r="F174" s="20" t="str">
        <x:v>0</x:v>
      </x:c>
      <x:c r="G174" s="20" t="str">
        <x:v>0</x:v>
      </x:c>
      <x:c r="H174" s="20" t="str">
        <x:v>0</x:v>
      </x:c>
      <x:c r="I174" s="20" t="str">
        <x:v>0</x:v>
      </x:c>
      <x:c r="J174" s="20" t="str">
        <x:v>0</x:v>
      </x:c>
      <x:c r="K174" s="20" t="str">
        <x:v>0</x:v>
      </x:c>
      <x:c r="L174" s="20" t="str">
        <x:v>0</x:v>
      </x:c>
      <x:c r="M174" s="20" t="str">
        <x:v>0</x:v>
      </x:c>
      <x:c r="N174" s="20" t="str">
        <x:v>0</x:v>
      </x:c>
      <x:c r="O174" s="20" t="str">
        <x:v>0</x:v>
      </x:c>
      <x:c r="P174" s="20" t="str">
        <x:v>0</x:v>
      </x:c>
      <x:c r="Q174" s="20" t="str">
        <x:v>0</x:v>
      </x:c>
      <x:c r="R174" s="20" t="str">
        <x:v>0</x:v>
      </x:c>
      <x:c r="S174" s="20" t="str">
        <x:v>0</x:v>
      </x:c>
      <x:c r="T174" s="20" t="str">
        <x:v>0</x:v>
      </x:c>
      <x:c r="U174" s="20" t="str">
        <x:v>0</x:v>
      </x:c>
      <x:c r="V174" s="20" t="str">
        <x:v>0</x:v>
      </x:c>
      <x:c r="W174" s="20" t="str">
        <x:v>1</x:v>
      </x:c>
      <x:c r="X174" s="20" t="str">
        <x:v>0</x:v>
      </x:c>
      <x:c r="Y174" s="20" t="str">
        <x:v>0</x:v>
      </x:c>
      <x:c r="Z174" s="20" t="str">
        <x:v>0</x:v>
      </x:c>
      <x:c r="AA174" s="20" t="str">
        <x:v>0</x:v>
      </x:c>
      <x:c r="AB174" s="20" t="str">
        <x:v>0</x:v>
      </x:c>
      <x:c r="AC174" s="20" t="str">
        <x:v>0</x:v>
      </x:c>
      <x:c r="AD174" s="20" t="str">
        <x:v>0</x:v>
      </x:c>
      <x:c r="AE174" s="20" t="str">
        <x:v>0</x:v>
      </x:c>
    </x:row>
    <x:row r="175">
      <x:c r="A175" s="20" t="str">
        <x:v>hu2022_lora_low_rank</x:v>
      </x:c>
      <x:c r="B175" s="20" t="str">
        <x:v>2022</x:v>
      </x:c>
      <x:c r="C175" s="20" t="str">
        <x:v>LoRA: Low-Rank Adaptation of Large Language Models</x:v>
      </x:c>
      <x:c r="D175" s="20" t="str">
        <x:v>10_LLM_Backbones_LowResource</x:v>
      </x:c>
      <x:c r="E175" s="20" t="str">
        <x:v>0</x:v>
      </x:c>
      <x:c r="F175" s="20" t="str">
        <x:v>0</x:v>
      </x:c>
      <x:c r="G175" s="20" t="str">
        <x:v>0</x:v>
      </x:c>
      <x:c r="H175" s="20" t="str">
        <x:v>0</x:v>
      </x:c>
      <x:c r="I175" s="20" t="str">
        <x:v>0</x:v>
      </x:c>
      <x:c r="J175" s="20" t="str">
        <x:v>0</x:v>
      </x:c>
      <x:c r="K175" s="20" t="str">
        <x:v>0</x:v>
      </x:c>
      <x:c r="L175" s="20" t="str">
        <x:v>0</x:v>
      </x:c>
      <x:c r="M175" s="20" t="str">
        <x:v>0</x:v>
      </x:c>
      <x:c r="N175" s="20" t="str">
        <x:v>0</x:v>
      </x:c>
      <x:c r="O175" s="20" t="str">
        <x:v>0</x:v>
      </x:c>
      <x:c r="P175" s="20" t="str">
        <x:v>0</x:v>
      </x:c>
      <x:c r="Q175" s="20" t="str">
        <x:v>0</x:v>
      </x:c>
      <x:c r="R175" s="20" t="str">
        <x:v>0</x:v>
      </x:c>
      <x:c r="S175" s="20" t="str">
        <x:v>0</x:v>
      </x:c>
      <x:c r="T175" s="20" t="str">
        <x:v>0</x:v>
      </x:c>
      <x:c r="U175" s="20" t="str">
        <x:v>0</x:v>
      </x:c>
      <x:c r="V175" s="20" t="str">
        <x:v>0</x:v>
      </x:c>
      <x:c r="W175" s="20" t="str">
        <x:v>1</x:v>
      </x:c>
      <x:c r="X175" s="20" t="str">
        <x:v>0</x:v>
      </x:c>
      <x:c r="Y175" s="20" t="str">
        <x:v>0</x:v>
      </x:c>
      <x:c r="Z175" s="20" t="str">
        <x:v>0</x:v>
      </x:c>
      <x:c r="AA175" s="20" t="str">
        <x:v>0</x:v>
      </x:c>
      <x:c r="AB175" s="20" t="str">
        <x:v>0</x:v>
      </x:c>
      <x:c r="AC175" s="20" t="str">
        <x:v>0</x:v>
      </x:c>
      <x:c r="AD175" s="20" t="str">
        <x:v>0</x:v>
      </x:c>
      <x:c r="AE175" s="20" t="str">
        <x:v>0</x:v>
      </x:c>
    </x:row>
    <x:row r="176">
      <x:c r="A176" s="20" t="str">
        <x:v>joshi2020_state_fate_linguistic</x:v>
      </x:c>
      <x:c r="B176" s="20" t="str">
        <x:v>2020</x:v>
      </x:c>
      <x:c r="C176" s="20" t="str">
        <x:v>The State and Fate of Linguistic Diversity and Inclusion in the NLP World</x:v>
      </x:c>
      <x:c r="D176" s="20" t="str">
        <x:v>10_LLM_Backbones_LowResource</x:v>
      </x:c>
      <x:c r="E176" s="20" t="str">
        <x:v>0</x:v>
      </x:c>
      <x:c r="F176" s="20" t="str">
        <x:v>0</x:v>
      </x:c>
      <x:c r="G176" s="20" t="str">
        <x:v>0</x:v>
      </x:c>
      <x:c r="H176" s="20" t="str">
        <x:v>0</x:v>
      </x:c>
      <x:c r="I176" s="20" t="str">
        <x:v>0</x:v>
      </x:c>
      <x:c r="J176" s="20" t="str">
        <x:v>0</x:v>
      </x:c>
      <x:c r="K176" s="20" t="str">
        <x:v>0</x:v>
      </x:c>
      <x:c r="L176" s="20" t="str">
        <x:v>0</x:v>
      </x:c>
      <x:c r="M176" s="20" t="str">
        <x:v>0</x:v>
      </x:c>
      <x:c r="N176" s="20" t="str">
        <x:v>0</x:v>
      </x:c>
      <x:c r="O176" s="20" t="str">
        <x:v>0</x:v>
      </x:c>
      <x:c r="P176" s="20" t="str">
        <x:v>0</x:v>
      </x:c>
      <x:c r="Q176" s="20" t="str">
        <x:v>0</x:v>
      </x:c>
      <x:c r="R176" s="20" t="str">
        <x:v>0</x:v>
      </x:c>
      <x:c r="S176" s="20" t="str">
        <x:v>0</x:v>
      </x:c>
      <x:c r="T176" s="20" t="str">
        <x:v>0</x:v>
      </x:c>
      <x:c r="U176" s="20" t="str">
        <x:v>0</x:v>
      </x:c>
      <x:c r="V176" s="20" t="str">
        <x:v>0</x:v>
      </x:c>
      <x:c r="W176" s="20" t="str">
        <x:v>1</x:v>
      </x:c>
      <x:c r="X176" s="20" t="str">
        <x:v>0</x:v>
      </x:c>
      <x:c r="Y176" s="20" t="str">
        <x:v>0</x:v>
      </x:c>
      <x:c r="Z176" s="20" t="str">
        <x:v>0</x:v>
      </x:c>
      <x:c r="AA176" s="20" t="str">
        <x:v>0</x:v>
      </x:c>
      <x:c r="AB176" s="20" t="str">
        <x:v>0</x:v>
      </x:c>
      <x:c r="AC176" s="20" t="str">
        <x:v>0</x:v>
      </x:c>
      <x:c r="AD176" s="20" t="str">
        <x:v>0</x:v>
      </x:c>
      <x:c r="AE176" s="20" t="str">
        <x:v>0</x:v>
      </x:c>
    </x:row>
    <x:row r="177">
      <x:c r="A177" s="20" t="str">
        <x:v>ruder2019_cross_lingual_word</x:v>
      </x:c>
      <x:c r="B177" s="20" t="str">
        <x:v>2019</x:v>
      </x:c>
      <x:c r="C177" s="20" t="str">
        <x:v>A Survey of Cross-lingual Word Embedding Models</x:v>
      </x:c>
      <x:c r="D177" s="20" t="str">
        <x:v>10_LLM_Backbones_LowResource</x:v>
      </x:c>
      <x:c r="E177" s="20" t="str">
        <x:v>0</x:v>
      </x:c>
      <x:c r="F177" s="20" t="str">
        <x:v>0</x:v>
      </x:c>
      <x:c r="G177" s="20" t="str">
        <x:v>0</x:v>
      </x:c>
      <x:c r="H177" s="20" t="str">
        <x:v>0</x:v>
      </x:c>
      <x:c r="I177" s="20" t="str">
        <x:v>0</x:v>
      </x:c>
      <x:c r="J177" s="20" t="str">
        <x:v>0</x:v>
      </x:c>
      <x:c r="K177" s="20" t="str">
        <x:v>0</x:v>
      </x:c>
      <x:c r="L177" s="20" t="str">
        <x:v>0</x:v>
      </x:c>
      <x:c r="M177" s="20" t="str">
        <x:v>0</x:v>
      </x:c>
      <x:c r="N177" s="20" t="str">
        <x:v>0</x:v>
      </x:c>
      <x:c r="O177" s="20" t="str">
        <x:v>0</x:v>
      </x:c>
      <x:c r="P177" s="20" t="str">
        <x:v>0</x:v>
      </x:c>
      <x:c r="Q177" s="20" t="str">
        <x:v>0</x:v>
      </x:c>
      <x:c r="R177" s="20" t="str">
        <x:v>0</x:v>
      </x:c>
      <x:c r="S177" s="20" t="str">
        <x:v>0</x:v>
      </x:c>
      <x:c r="T177" s="20" t="str">
        <x:v>0</x:v>
      </x:c>
      <x:c r="U177" s="20" t="str">
        <x:v>0</x:v>
      </x:c>
      <x:c r="V177" s="20" t="str">
        <x:v>0</x:v>
      </x:c>
      <x:c r="W177" s="20" t="str">
        <x:v>1</x:v>
      </x:c>
      <x:c r="X177" s="20" t="str">
        <x:v>0</x:v>
      </x:c>
      <x:c r="Y177" s="20" t="str">
        <x:v>0</x:v>
      </x:c>
      <x:c r="Z177" s="20" t="str">
        <x:v>0</x:v>
      </x:c>
      <x:c r="AA177" s="20" t="str">
        <x:v>0</x:v>
      </x:c>
      <x:c r="AB177" s="20" t="str">
        <x:v>0</x:v>
      </x:c>
      <x:c r="AC177" s="20" t="str">
        <x:v>0</x:v>
      </x:c>
      <x:c r="AD177" s="20" t="str">
        <x:v>0</x:v>
      </x:c>
      <x:c r="AE177" s="20" t="str">
        <x:v>0</x:v>
      </x:c>
    </x:row>
    <x:row r="178">
      <x:c r="A178" s="20" t="str">
        <x:v>lauscher2020_zero_hero_limitations</x:v>
      </x:c>
      <x:c r="B178" s="20" t="str">
        <x:v>2020</x:v>
      </x:c>
      <x:c r="C178" s="20" t="str">
        <x:v>From Zero to Hero: On the Limitations of Zero-Shot Cross-Lingual Transfer with Multilingual Transformers</x:v>
      </x:c>
      <x:c r="D178" s="20" t="str">
        <x:v>10_LLM_Backbones_LowResource</x:v>
      </x:c>
      <x:c r="E178" s="20" t="str">
        <x:v>0</x:v>
      </x:c>
      <x:c r="F178" s="20" t="str">
        <x:v>0</x:v>
      </x:c>
      <x:c r="G178" s="20" t="str">
        <x:v>0</x:v>
      </x:c>
      <x:c r="H178" s="20" t="str">
        <x:v>0</x:v>
      </x:c>
      <x:c r="I178" s="20" t="str">
        <x:v>0</x:v>
      </x:c>
      <x:c r="J178" s="20" t="str">
        <x:v>0</x:v>
      </x:c>
      <x:c r="K178" s="20" t="str">
        <x:v>0</x:v>
      </x:c>
      <x:c r="L178" s="20" t="str">
        <x:v>0</x:v>
      </x:c>
      <x:c r="M178" s="20" t="str">
        <x:v>0</x:v>
      </x:c>
      <x:c r="N178" s="20" t="str">
        <x:v>0</x:v>
      </x:c>
      <x:c r="O178" s="20" t="str">
        <x:v>0</x:v>
      </x:c>
      <x:c r="P178" s="20" t="str">
        <x:v>0</x:v>
      </x:c>
      <x:c r="Q178" s="20" t="str">
        <x:v>0</x:v>
      </x:c>
      <x:c r="R178" s="20" t="str">
        <x:v>0</x:v>
      </x:c>
      <x:c r="S178" s="20" t="str">
        <x:v>0</x:v>
      </x:c>
      <x:c r="T178" s="20" t="str">
        <x:v>0</x:v>
      </x:c>
      <x:c r="U178" s="20" t="str">
        <x:v>0</x:v>
      </x:c>
      <x:c r="V178" s="20" t="str">
        <x:v>0</x:v>
      </x:c>
      <x:c r="W178" s="20" t="str">
        <x:v>1</x:v>
      </x:c>
      <x:c r="X178" s="20" t="str">
        <x:v>0</x:v>
      </x:c>
      <x:c r="Y178" s="20" t="str">
        <x:v>0</x:v>
      </x:c>
      <x:c r="Z178" s="20" t="str">
        <x:v>0</x:v>
      </x:c>
      <x:c r="AA178" s="20" t="str">
        <x:v>0</x:v>
      </x:c>
      <x:c r="AB178" s="20" t="str">
        <x:v>0</x:v>
      </x:c>
      <x:c r="AC178" s="20" t="str">
        <x:v>0</x:v>
      </x:c>
      <x:c r="AD178" s="20" t="str">
        <x:v>0</x:v>
      </x:c>
      <x:c r="AE178" s="20" t="str">
        <x:v>0</x:v>
      </x:c>
    </x:row>
    <x:row r="179">
      <x:c r="A179" s="20" t="str">
        <x:v>touvron2023_llama_2_open</x:v>
      </x:c>
      <x:c r="B179" s="20" t="str">
        <x:v>2023</x:v>
      </x:c>
      <x:c r="C179" s="20" t="str">
        <x:v>Llama 2: Open Foundation and Fine-Tuned Chat Models</x:v>
      </x:c>
      <x:c r="D179" s="20" t="str">
        <x:v>10_LLM_Backbones_LowResource</x:v>
      </x:c>
      <x:c r="E179" s="20" t="str">
        <x:v>0</x:v>
      </x:c>
      <x:c r="F179" s="20" t="str">
        <x:v>0</x:v>
      </x:c>
      <x:c r="G179" s="20" t="str">
        <x:v>0</x:v>
      </x:c>
      <x:c r="H179" s="20" t="str">
        <x:v>0</x:v>
      </x:c>
      <x:c r="I179" s="20" t="str">
        <x:v>0</x:v>
      </x:c>
      <x:c r="J179" s="20" t="str">
        <x:v>0</x:v>
      </x:c>
      <x:c r="K179" s="20" t="str">
        <x:v>0</x:v>
      </x:c>
      <x:c r="L179" s="20" t="str">
        <x:v>0</x:v>
      </x:c>
      <x:c r="M179" s="20" t="str">
        <x:v>0</x:v>
      </x:c>
      <x:c r="N179" s="20" t="str">
        <x:v>0</x:v>
      </x:c>
      <x:c r="O179" s="20" t="str">
        <x:v>0</x:v>
      </x:c>
      <x:c r="P179" s="20" t="str">
        <x:v>0</x:v>
      </x:c>
      <x:c r="Q179" s="20" t="str">
        <x:v>0</x:v>
      </x:c>
      <x:c r="R179" s="20" t="str">
        <x:v>0</x:v>
      </x:c>
      <x:c r="S179" s="20" t="str">
        <x:v>0</x:v>
      </x:c>
      <x:c r="T179" s="20" t="str">
        <x:v>0</x:v>
      </x:c>
      <x:c r="U179" s="20" t="str">
        <x:v>0</x:v>
      </x:c>
      <x:c r="V179" s="20" t="str">
        <x:v>0</x:v>
      </x:c>
      <x:c r="W179" s="20" t="str">
        <x:v>1</x:v>
      </x:c>
      <x:c r="X179" s="20" t="str">
        <x:v>0</x:v>
      </x:c>
      <x:c r="Y179" s="20" t="str">
        <x:v>0</x:v>
      </x:c>
      <x:c r="Z179" s="20" t="str">
        <x:v>0</x:v>
      </x:c>
      <x:c r="AA179" s="20" t="str">
        <x:v>0</x:v>
      </x:c>
      <x:c r="AB179" s="20" t="str">
        <x:v>0</x:v>
      </x:c>
      <x:c r="AC179" s="20" t="str">
        <x:v>0</x:v>
      </x:c>
      <x:c r="AD179" s="20" t="str">
        <x:v>0</x:v>
      </x:c>
      <x:c r="AE179" s="20" t="str">
        <x:v>0</x:v>
      </x:c>
    </x:row>
    <x:row r="180">
      <x:c r="A180" s="20" t="str">
        <x:v>dubey2024_llama_3_herd</x:v>
      </x:c>
      <x:c r="B180" s="20" t="str">
        <x:v>2024</x:v>
      </x:c>
      <x:c r="C180" s="20" t="str">
        <x:v>The Llama 3 Herd of Models</x:v>
      </x:c>
      <x:c r="D180" s="20" t="str">
        <x:v>10_LLM_Backbones_LowResource</x:v>
      </x:c>
      <x:c r="E180" s="20" t="str">
        <x:v>0</x:v>
      </x:c>
      <x:c r="F180" s="20" t="str">
        <x:v>0</x:v>
      </x:c>
      <x:c r="G180" s="20" t="str">
        <x:v>0</x:v>
      </x:c>
      <x:c r="H180" s="20" t="str">
        <x:v>0</x:v>
      </x:c>
      <x:c r="I180" s="20" t="str">
        <x:v>0</x:v>
      </x:c>
      <x:c r="J180" s="20" t="str">
        <x:v>0</x:v>
      </x:c>
      <x:c r="K180" s="20" t="str">
        <x:v>0</x:v>
      </x:c>
      <x:c r="L180" s="20" t="str">
        <x:v>0</x:v>
      </x:c>
      <x:c r="M180" s="20" t="str">
        <x:v>0</x:v>
      </x:c>
      <x:c r="N180" s="20" t="str">
        <x:v>0</x:v>
      </x:c>
      <x:c r="O180" s="20" t="str">
        <x:v>0</x:v>
      </x:c>
      <x:c r="P180" s="20" t="str">
        <x:v>0</x:v>
      </x:c>
      <x:c r="Q180" s="20" t="str">
        <x:v>0</x:v>
      </x:c>
      <x:c r="R180" s="20" t="str">
        <x:v>0</x:v>
      </x:c>
      <x:c r="S180" s="20" t="str">
        <x:v>0</x:v>
      </x:c>
      <x:c r="T180" s="20" t="str">
        <x:v>0</x:v>
      </x:c>
      <x:c r="U180" s="20" t="str">
        <x:v>0</x:v>
      </x:c>
      <x:c r="V180" s="20" t="str">
        <x:v>0</x:v>
      </x:c>
      <x:c r="W180" s="20" t="str">
        <x:v>1</x:v>
      </x:c>
      <x:c r="X180" s="20" t="str">
        <x:v>0</x:v>
      </x:c>
      <x:c r="Y180" s="20" t="str">
        <x:v>0</x:v>
      </x:c>
      <x:c r="Z180" s="20" t="str">
        <x:v>0</x:v>
      </x:c>
      <x:c r="AA180" s="20" t="str">
        <x:v>0</x:v>
      </x:c>
      <x:c r="AB180" s="20" t="str">
        <x:v>0</x:v>
      </x:c>
      <x:c r="AC180" s="20" t="str">
        <x:v>0</x:v>
      </x:c>
      <x:c r="AD180" s="20" t="str">
        <x:v>0</x:v>
      </x:c>
      <x:c r="AE180" s="20" t="str">
        <x:v>0</x:v>
      </x:c>
    </x:row>
    <x:row r="181">
      <x:c r="A181" s="20" t="str">
        <x:v>yang2024_qwen2_5_technical</x:v>
      </x:c>
      <x:c r="B181" s="20" t="str">
        <x:v>2024</x:v>
      </x:c>
      <x:c r="C181" s="20" t="str">
        <x:v>Qwen2.5 Technical Report</x:v>
      </x:c>
      <x:c r="D181" s="20" t="str">
        <x:v>10_LLM_Backbones_LowResource</x:v>
      </x:c>
      <x:c r="E181" s="20" t="str">
        <x:v>0</x:v>
      </x:c>
      <x:c r="F181" s="20" t="str">
        <x:v>0</x:v>
      </x:c>
      <x:c r="G181" s="20" t="str">
        <x:v>0</x:v>
      </x:c>
      <x:c r="H181" s="20" t="str">
        <x:v>0</x:v>
      </x:c>
      <x:c r="I181" s="20" t="str">
        <x:v>0</x:v>
      </x:c>
      <x:c r="J181" s="20" t="str">
        <x:v>0</x:v>
      </x:c>
      <x:c r="K181" s="20" t="str">
        <x:v>0</x:v>
      </x:c>
      <x:c r="L181" s="20" t="str">
        <x:v>0</x:v>
      </x:c>
      <x:c r="M181" s="20" t="str">
        <x:v>0</x:v>
      </x:c>
      <x:c r="N181" s="20" t="str">
        <x:v>0</x:v>
      </x:c>
      <x:c r="O181" s="20" t="str">
        <x:v>0</x:v>
      </x:c>
      <x:c r="P181" s="20" t="str">
        <x:v>0</x:v>
      </x:c>
      <x:c r="Q181" s="20" t="str">
        <x:v>0</x:v>
      </x:c>
      <x:c r="R181" s="20" t="str">
        <x:v>0</x:v>
      </x:c>
      <x:c r="S181" s="20" t="str">
        <x:v>0</x:v>
      </x:c>
      <x:c r="T181" s="20" t="str">
        <x:v>0</x:v>
      </x:c>
      <x:c r="U181" s="20" t="str">
        <x:v>0</x:v>
      </x:c>
      <x:c r="V181" s="20" t="str">
        <x:v>0</x:v>
      </x:c>
      <x:c r="W181" s="20" t="str">
        <x:v>1</x:v>
      </x:c>
      <x:c r="X181" s="20" t="str">
        <x:v>0</x:v>
      </x:c>
      <x:c r="Y181" s="20" t="str">
        <x:v>0</x:v>
      </x:c>
      <x:c r="Z181" s="20" t="str">
        <x:v>0</x:v>
      </x:c>
      <x:c r="AA181" s="20" t="str">
        <x:v>0</x:v>
      </x:c>
      <x:c r="AB181" s="20" t="str">
        <x:v>0</x:v>
      </x:c>
      <x:c r="AC181" s="20" t="str">
        <x:v>0</x:v>
      </x:c>
      <x:c r="AD181" s="20" t="str">
        <x:v>0</x:v>
      </x:c>
      <x:c r="AE181" s="20" t="str">
        <x:v>0</x:v>
      </x:c>
    </x:row>
    <x:row r="182">
      <x:c r="A182" s="20" t="str">
        <x:v>team2024_gemma_open_gemini</x:v>
      </x:c>
      <x:c r="B182" s="20" t="str">
        <x:v>2024</x:v>
      </x:c>
      <x:c r="C182" s="20" t="str">
        <x:v>Gemma: Open Models Based on Gemini Research and Technology</x:v>
      </x:c>
      <x:c r="D182" s="20" t="str">
        <x:v>10_LLM_Backbones_LowResource</x:v>
      </x:c>
      <x:c r="E182" s="20" t="str">
        <x:v>0</x:v>
      </x:c>
      <x:c r="F182" s="20" t="str">
        <x:v>0</x:v>
      </x:c>
      <x:c r="G182" s="20" t="str">
        <x:v>0</x:v>
      </x:c>
      <x:c r="H182" s="20" t="str">
        <x:v>0</x:v>
      </x:c>
      <x:c r="I182" s="20" t="str">
        <x:v>0</x:v>
      </x:c>
      <x:c r="J182" s="20" t="str">
        <x:v>0</x:v>
      </x:c>
      <x:c r="K182" s="20" t="str">
        <x:v>0</x:v>
      </x:c>
      <x:c r="L182" s="20" t="str">
        <x:v>0</x:v>
      </x:c>
      <x:c r="M182" s="20" t="str">
        <x:v>0</x:v>
      </x:c>
      <x:c r="N182" s="20" t="str">
        <x:v>0</x:v>
      </x:c>
      <x:c r="O182" s="20" t="str">
        <x:v>0</x:v>
      </x:c>
      <x:c r="P182" s="20" t="str">
        <x:v>0</x:v>
      </x:c>
      <x:c r="Q182" s="20" t="str">
        <x:v>0</x:v>
      </x:c>
      <x:c r="R182" s="20" t="str">
        <x:v>0</x:v>
      </x:c>
      <x:c r="S182" s="20" t="str">
        <x:v>0</x:v>
      </x:c>
      <x:c r="T182" s="20" t="str">
        <x:v>0</x:v>
      </x:c>
      <x:c r="U182" s="20" t="str">
        <x:v>0</x:v>
      </x:c>
      <x:c r="V182" s="20" t="str">
        <x:v>0</x:v>
      </x:c>
      <x:c r="W182" s="20" t="str">
        <x:v>1</x:v>
      </x:c>
      <x:c r="X182" s="20" t="str">
        <x:v>0</x:v>
      </x:c>
      <x:c r="Y182" s="20" t="str">
        <x:v>0</x:v>
      </x:c>
      <x:c r="Z182" s="20" t="str">
        <x:v>0</x:v>
      </x:c>
      <x:c r="AA182" s="20" t="str">
        <x:v>0</x:v>
      </x:c>
      <x:c r="AB182" s="20" t="str">
        <x:v>0</x:v>
      </x:c>
      <x:c r="AC182" s="20" t="str">
        <x:v>0</x:v>
      </x:c>
      <x:c r="AD182" s="20" t="str">
        <x:v>0</x:v>
      </x:c>
      <x:c r="AE182" s="20" t="str">
        <x:v>0</x:v>
      </x:c>
    </x:row>
    <x:row r="183">
      <x:c r="A183" s="20" t="str">
        <x:v>team2024_gemma_2_improving</x:v>
      </x:c>
      <x:c r="B183" s="20" t="str">
        <x:v>2024</x:v>
      </x:c>
      <x:c r="C183" s="20" t="str">
        <x:v>Gemma 2: Improving Open Language Models at a Practical Size</x:v>
      </x:c>
      <x:c r="D183" s="20" t="str">
        <x:v>10_LLM_Backbones_LowResource</x:v>
      </x:c>
      <x:c r="E183" s="20" t="str">
        <x:v>0</x:v>
      </x:c>
      <x:c r="F183" s="20" t="str">
        <x:v>0</x:v>
      </x:c>
      <x:c r="G183" s="20" t="str">
        <x:v>0</x:v>
      </x:c>
      <x:c r="H183" s="20" t="str">
        <x:v>0</x:v>
      </x:c>
      <x:c r="I183" s="20" t="str">
        <x:v>0</x:v>
      </x:c>
      <x:c r="J183" s="20" t="str">
        <x:v>0</x:v>
      </x:c>
      <x:c r="K183" s="20" t="str">
        <x:v>0</x:v>
      </x:c>
      <x:c r="L183" s="20" t="str">
        <x:v>0</x:v>
      </x:c>
      <x:c r="M183" s="20" t="str">
        <x:v>0</x:v>
      </x:c>
      <x:c r="N183" s="20" t="str">
        <x:v>0</x:v>
      </x:c>
      <x:c r="O183" s="20" t="str">
        <x:v>0</x:v>
      </x:c>
      <x:c r="P183" s="20" t="str">
        <x:v>0</x:v>
      </x:c>
      <x:c r="Q183" s="20" t="str">
        <x:v>0</x:v>
      </x:c>
      <x:c r="R183" s="20" t="str">
        <x:v>0</x:v>
      </x:c>
      <x:c r="S183" s="20" t="str">
        <x:v>0</x:v>
      </x:c>
      <x:c r="T183" s="20" t="str">
        <x:v>0</x:v>
      </x:c>
      <x:c r="U183" s="20" t="str">
        <x:v>0</x:v>
      </x:c>
      <x:c r="V183" s="20" t="str">
        <x:v>0</x:v>
      </x:c>
      <x:c r="W183" s="20" t="str">
        <x:v>1</x:v>
      </x:c>
      <x:c r="X183" s="20" t="str">
        <x:v>0</x:v>
      </x:c>
      <x:c r="Y183" s="20" t="str">
        <x:v>0</x:v>
      </x:c>
      <x:c r="Z183" s="20" t="str">
        <x:v>0</x:v>
      </x:c>
      <x:c r="AA183" s="20" t="str">
        <x:v>0</x:v>
      </x:c>
      <x:c r="AB183" s="20" t="str">
        <x:v>0</x:v>
      </x:c>
      <x:c r="AC183" s="20" t="str">
        <x:v>0</x:v>
      </x:c>
      <x:c r="AD183" s="20" t="str">
        <x:v>0</x:v>
      </x:c>
      <x:c r="AE183" s="20" t="str">
        <x:v>0</x:v>
      </x:c>
    </x:row>
    <x:row r="184">
      <x:c r="A184" s="20" t="str">
        <x:v>jiang2023_mistral_7b</x:v>
      </x:c>
      <x:c r="B184" s="20" t="str">
        <x:v>2023</x:v>
      </x:c>
      <x:c r="C184" s="20" t="str">
        <x:v>Mistral 7B</x:v>
      </x:c>
      <x:c r="D184" s="20" t="str">
        <x:v>10_LLM_Backbones_LowResource</x:v>
      </x:c>
      <x:c r="E184" s="20" t="str">
        <x:v>0</x:v>
      </x:c>
      <x:c r="F184" s="20" t="str">
        <x:v>0</x:v>
      </x:c>
      <x:c r="G184" s="20" t="str">
        <x:v>0</x:v>
      </x:c>
      <x:c r="H184" s="20" t="str">
        <x:v>0</x:v>
      </x:c>
      <x:c r="I184" s="20" t="str">
        <x:v>0</x:v>
      </x:c>
      <x:c r="J184" s="20" t="str">
        <x:v>0</x:v>
      </x:c>
      <x:c r="K184" s="20" t="str">
        <x:v>0</x:v>
      </x:c>
      <x:c r="L184" s="20" t="str">
        <x:v>0</x:v>
      </x:c>
      <x:c r="M184" s="20" t="str">
        <x:v>0</x:v>
      </x:c>
      <x:c r="N184" s="20" t="str">
        <x:v>0</x:v>
      </x:c>
      <x:c r="O184" s="20" t="str">
        <x:v>0</x:v>
      </x:c>
      <x:c r="P184" s="20" t="str">
        <x:v>0</x:v>
      </x:c>
      <x:c r="Q184" s="20" t="str">
        <x:v>0</x:v>
      </x:c>
      <x:c r="R184" s="20" t="str">
        <x:v>0</x:v>
      </x:c>
      <x:c r="S184" s="20" t="str">
        <x:v>0</x:v>
      </x:c>
      <x:c r="T184" s="20" t="str">
        <x:v>0</x:v>
      </x:c>
      <x:c r="U184" s="20" t="str">
        <x:v>0</x:v>
      </x:c>
      <x:c r="V184" s="20" t="str">
        <x:v>0</x:v>
      </x:c>
      <x:c r="W184" s="20" t="str">
        <x:v>1</x:v>
      </x:c>
      <x:c r="X184" s="20" t="str">
        <x:v>0</x:v>
      </x:c>
      <x:c r="Y184" s="20" t="str">
        <x:v>0</x:v>
      </x:c>
      <x:c r="Z184" s="20" t="str">
        <x:v>0</x:v>
      </x:c>
      <x:c r="AA184" s="20" t="str">
        <x:v>0</x:v>
      </x:c>
      <x:c r="AB184" s="20" t="str">
        <x:v>0</x:v>
      </x:c>
      <x:c r="AC184" s="20" t="str">
        <x:v>0</x:v>
      </x:c>
      <x:c r="AD184" s="20" t="str">
        <x:v>0</x:v>
      </x:c>
      <x:c r="AE184" s="20" t="str">
        <x:v>0</x:v>
      </x:c>
    </x:row>
    <x:row r="185">
      <x:c r="A185" s="20" t="str">
        <x:v>dettmers2023_qlora_efficient_finetuning</x:v>
      </x:c>
      <x:c r="B185" s="20" t="str">
        <x:v>2023</x:v>
      </x:c>
      <x:c r="C185" s="20" t="str">
        <x:v>QLoRA: Efficient Finetuning of Quantized LLMs</x:v>
      </x:c>
      <x:c r="D185" s="20" t="str">
        <x:v>10_LLM_Backbones_LowResource</x:v>
      </x:c>
      <x:c r="E185" s="20" t="str">
        <x:v>0</x:v>
      </x:c>
      <x:c r="F185" s="20" t="str">
        <x:v>0</x:v>
      </x:c>
      <x:c r="G185" s="20" t="str">
        <x:v>0</x:v>
      </x:c>
      <x:c r="H185" s="20" t="str">
        <x:v>0</x:v>
      </x:c>
      <x:c r="I185" s="20" t="str">
        <x:v>0</x:v>
      </x:c>
      <x:c r="J185" s="20" t="str">
        <x:v>0</x:v>
      </x:c>
      <x:c r="K185" s="20" t="str">
        <x:v>0</x:v>
      </x:c>
      <x:c r="L185" s="20" t="str">
        <x:v>0</x:v>
      </x:c>
      <x:c r="M185" s="20" t="str">
        <x:v>0</x:v>
      </x:c>
      <x:c r="N185" s="20" t="str">
        <x:v>0</x:v>
      </x:c>
      <x:c r="O185" s="20" t="str">
        <x:v>0</x:v>
      </x:c>
      <x:c r="P185" s="20" t="str">
        <x:v>0</x:v>
      </x:c>
      <x:c r="Q185" s="20" t="str">
        <x:v>0</x:v>
      </x:c>
      <x:c r="R185" s="20" t="str">
        <x:v>0</x:v>
      </x:c>
      <x:c r="S185" s="20" t="str">
        <x:v>0</x:v>
      </x:c>
      <x:c r="T185" s="20" t="str">
        <x:v>0</x:v>
      </x:c>
      <x:c r="U185" s="20" t="str">
        <x:v>0</x:v>
      </x:c>
      <x:c r="V185" s="20" t="str">
        <x:v>0</x:v>
      </x:c>
      <x:c r="W185" s="20" t="str">
        <x:v>1</x:v>
      </x:c>
      <x:c r="X185" s="20" t="str">
        <x:v>0</x:v>
      </x:c>
      <x:c r="Y185" s="20" t="str">
        <x:v>0</x:v>
      </x:c>
      <x:c r="Z185" s="20" t="str">
        <x:v>0</x:v>
      </x:c>
      <x:c r="AA185" s="20" t="str">
        <x:v>0</x:v>
      </x:c>
      <x:c r="AB185" s="20" t="str">
        <x:v>0</x:v>
      </x:c>
      <x:c r="AC185" s="20" t="str">
        <x:v>0</x:v>
      </x:c>
      <x:c r="AD185" s="20" t="str">
        <x:v>0</x:v>
      </x:c>
      <x:c r="AE185" s="20" t="str">
        <x:v>0</x:v>
      </x:c>
    </x:row>
    <x:row r="186">
      <x:c r="A186" s="20" t="str">
        <x:v>dettmers2022_llm_int8_8</x:v>
      </x:c>
      <x:c r="B186" s="20" t="str">
        <x:v>2022</x:v>
      </x:c>
      <x:c r="C186" s="20" t="str">
        <x:v>LLM.int8(): 8-bit Matrix Multiplication for Transformers at Scale</x:v>
      </x:c>
      <x:c r="D186" s="20" t="str">
        <x:v>10_LLM_Backbones_LowResource</x:v>
      </x:c>
      <x:c r="E186" s="20" t="str">
        <x:v>0</x:v>
      </x:c>
      <x:c r="F186" s="20" t="str">
        <x:v>0</x:v>
      </x:c>
      <x:c r="G186" s="20" t="str">
        <x:v>0</x:v>
      </x:c>
      <x:c r="H186" s="20" t="str">
        <x:v>0</x:v>
      </x:c>
      <x:c r="I186" s="20" t="str">
        <x:v>0</x:v>
      </x:c>
      <x:c r="J186" s="20" t="str">
        <x:v>0</x:v>
      </x:c>
      <x:c r="K186" s="20" t="str">
        <x:v>0</x:v>
      </x:c>
      <x:c r="L186" s="20" t="str">
        <x:v>0</x:v>
      </x:c>
      <x:c r="M186" s="20" t="str">
        <x:v>0</x:v>
      </x:c>
      <x:c r="N186" s="20" t="str">
        <x:v>0</x:v>
      </x:c>
      <x:c r="O186" s="20" t="str">
        <x:v>0</x:v>
      </x:c>
      <x:c r="P186" s="20" t="str">
        <x:v>0</x:v>
      </x:c>
      <x:c r="Q186" s="20" t="str">
        <x:v>0</x:v>
      </x:c>
      <x:c r="R186" s="20" t="str">
        <x:v>0</x:v>
      </x:c>
      <x:c r="S186" s="20" t="str">
        <x:v>0</x:v>
      </x:c>
      <x:c r="T186" s="20" t="str">
        <x:v>0</x:v>
      </x:c>
      <x:c r="U186" s="20" t="str">
        <x:v>0</x:v>
      </x:c>
      <x:c r="V186" s="20" t="str">
        <x:v>0</x:v>
      </x:c>
      <x:c r="W186" s="20" t="str">
        <x:v>1</x:v>
      </x:c>
      <x:c r="X186" s="20" t="str">
        <x:v>0</x:v>
      </x:c>
      <x:c r="Y186" s="20" t="str">
        <x:v>0</x:v>
      </x:c>
      <x:c r="Z186" s="20" t="str">
        <x:v>0</x:v>
      </x:c>
      <x:c r="AA186" s="20" t="str">
        <x:v>0</x:v>
      </x:c>
      <x:c r="AB186" s="20" t="str">
        <x:v>0</x:v>
      </x:c>
      <x:c r="AC186" s="20" t="str">
        <x:v>0</x:v>
      </x:c>
      <x:c r="AD186" s="20" t="str">
        <x:v>0</x:v>
      </x:c>
      <x:c r="AE186" s="20" t="str">
        <x:v>0</x:v>
      </x:c>
    </x:row>
    <x:row r="187">
      <x:c r="A187" s="20" t="str">
        <x:v>johnson2016_mimic_iii_freely</x:v>
      </x:c>
      <x:c r="B187" s="20" t="str">
        <x:v>2016</x:v>
      </x:c>
      <x:c r="C187" s="20" t="str">
        <x:v>MIMIC-III, A Freely Accessible Critical Care Database</x:v>
      </x:c>
      <x:c r="D187" s="20" t="str">
        <x:v>11_Clinical_NLP_Datasets</x:v>
      </x:c>
      <x:c r="E187" s="20" t="str">
        <x:v>0</x:v>
      </x:c>
      <x:c r="F187" s="20" t="str">
        <x:v>0</x:v>
      </x:c>
      <x:c r="G187" s="20" t="str">
        <x:v>0</x:v>
      </x:c>
      <x:c r="H187" s="20" t="str">
        <x:v>0</x:v>
      </x:c>
      <x:c r="I187" s="20" t="str">
        <x:v>0</x:v>
      </x:c>
      <x:c r="J187" s="20" t="str">
        <x:v>0</x:v>
      </x:c>
      <x:c r="K187" s="20" t="str">
        <x:v>0</x:v>
      </x:c>
      <x:c r="L187" s="20" t="str">
        <x:v>0</x:v>
      </x:c>
      <x:c r="M187" s="20" t="str">
        <x:v>0</x:v>
      </x:c>
      <x:c r="N187" s="20" t="str">
        <x:v>0</x:v>
      </x:c>
      <x:c r="O187" s="20" t="str">
        <x:v>0</x:v>
      </x:c>
      <x:c r="P187" s="20" t="str">
        <x:v>0</x:v>
      </x:c>
      <x:c r="Q187" s="20" t="str">
        <x:v>0</x:v>
      </x:c>
      <x:c r="R187" s="20" t="str">
        <x:v>0</x:v>
      </x:c>
      <x:c r="S187" s="20" t="str">
        <x:v>0</x:v>
      </x:c>
      <x:c r="T187" s="20" t="str">
        <x:v>0</x:v>
      </x:c>
      <x:c r="U187" s="20" t="str">
        <x:v>0</x:v>
      </x:c>
      <x:c r="V187" s="20" t="str">
        <x:v>0</x:v>
      </x:c>
      <x:c r="W187" s="20" t="str">
        <x:v>1</x:v>
      </x:c>
      <x:c r="X187" s="20" t="str">
        <x:v>0</x:v>
      </x:c>
      <x:c r="Y187" s="20" t="str">
        <x:v>0</x:v>
      </x:c>
      <x:c r="Z187" s="20" t="str">
        <x:v>0</x:v>
      </x:c>
      <x:c r="AA187" s="20" t="str">
        <x:v>0</x:v>
      </x:c>
      <x:c r="AB187" s="20" t="str">
        <x:v>0</x:v>
      </x:c>
      <x:c r="AC187" s="20" t="str">
        <x:v>0</x:v>
      </x:c>
      <x:c r="AD187" s="20" t="str">
        <x:v>0</x:v>
      </x:c>
      <x:c r="AE187" s="20" t="str">
        <x:v>0</x:v>
      </x:c>
    </x:row>
    <x:row r="188">
      <x:c r="A188" s="20" t="str">
        <x:v>johnson2023_mimic_iv_freely</x:v>
      </x:c>
      <x:c r="B188" s="20" t="str">
        <x:v>2023</x:v>
      </x:c>
      <x:c r="C188" s="20" t="str">
        <x:v>MIMIC-IV, A Freely Accessible Electronic Health Record Dataset</x:v>
      </x:c>
      <x:c r="D188" s="20" t="str">
        <x:v>11_Clinical_NLP_Datasets</x:v>
      </x:c>
      <x:c r="E188" s="20" t="str">
        <x:v>0</x:v>
      </x:c>
      <x:c r="F188" s="20" t="str">
        <x:v>0</x:v>
      </x:c>
      <x:c r="G188" s="20" t="str">
        <x:v>0</x:v>
      </x:c>
      <x:c r="H188" s="20" t="str">
        <x:v>0</x:v>
      </x:c>
      <x:c r="I188" s="20" t="str">
        <x:v>0</x:v>
      </x:c>
      <x:c r="J188" s="20" t="str">
        <x:v>0</x:v>
      </x:c>
      <x:c r="K188" s="20" t="str">
        <x:v>0</x:v>
      </x:c>
      <x:c r="L188" s="20" t="str">
        <x:v>0</x:v>
      </x:c>
      <x:c r="M188" s="20" t="str">
        <x:v>0</x:v>
      </x:c>
      <x:c r="N188" s="20" t="str">
        <x:v>0</x:v>
      </x:c>
      <x:c r="O188" s="20" t="str">
        <x:v>0</x:v>
      </x:c>
      <x:c r="P188" s="20" t="str">
        <x:v>0</x:v>
      </x:c>
      <x:c r="Q188" s="20" t="str">
        <x:v>0</x:v>
      </x:c>
      <x:c r="R188" s="20" t="str">
        <x:v>0</x:v>
      </x:c>
      <x:c r="S188" s="20" t="str">
        <x:v>0</x:v>
      </x:c>
      <x:c r="T188" s="20" t="str">
        <x:v>0</x:v>
      </x:c>
      <x:c r="U188" s="20" t="str">
        <x:v>0</x:v>
      </x:c>
      <x:c r="V188" s="20" t="str">
        <x:v>0</x:v>
      </x:c>
      <x:c r="W188" s="20" t="str">
        <x:v>1</x:v>
      </x:c>
      <x:c r="X188" s="20" t="str">
        <x:v>0</x:v>
      </x:c>
      <x:c r="Y188" s="20" t="str">
        <x:v>0</x:v>
      </x:c>
      <x:c r="Z188" s="20" t="str">
        <x:v>0</x:v>
      </x:c>
      <x:c r="AA188" s="20" t="str">
        <x:v>0</x:v>
      </x:c>
      <x:c r="AB188" s="20" t="str">
        <x:v>0</x:v>
      </x:c>
      <x:c r="AC188" s="20" t="str">
        <x:v>0</x:v>
      </x:c>
      <x:c r="AD188" s="20" t="str">
        <x:v>0</x:v>
      </x:c>
      <x:c r="AE188" s="20" t="str">
        <x:v>0</x:v>
      </x:c>
    </x:row>
    <x:row r="189">
      <x:c r="A189" s="20" t="str">
        <x:v>irvin2019_chexpert_chest_radiograph</x:v>
      </x:c>
      <x:c r="B189" s="20" t="str">
        <x:v>2019</x:v>
      </x:c>
      <x:c r="C189" s="20" t="str">
        <x:v>CheXpert: A Large Chest Radiograph Dataset with Uncertainty Labels and Expert Comparison</x:v>
      </x:c>
      <x:c r="D189" s="20" t="str">
        <x:v>11_Clinical_NLP_Datasets</x:v>
      </x:c>
      <x:c r="E189" s="20" t="str">
        <x:v>0</x:v>
      </x:c>
      <x:c r="F189" s="20" t="str">
        <x:v>0</x:v>
      </x:c>
      <x:c r="G189" s="20" t="str">
        <x:v>0</x:v>
      </x:c>
      <x:c r="H189" s="20" t="str">
        <x:v>0</x:v>
      </x:c>
      <x:c r="I189" s="20" t="str">
        <x:v>0</x:v>
      </x:c>
      <x:c r="J189" s="20" t="str">
        <x:v>0</x:v>
      </x:c>
      <x:c r="K189" s="20" t="str">
        <x:v>0</x:v>
      </x:c>
      <x:c r="L189" s="20" t="str">
        <x:v>0</x:v>
      </x:c>
      <x:c r="M189" s="20" t="str">
        <x:v>0</x:v>
      </x:c>
      <x:c r="N189" s="20" t="str">
        <x:v>0</x:v>
      </x:c>
      <x:c r="O189" s="20" t="str">
        <x:v>0</x:v>
      </x:c>
      <x:c r="P189" s="20" t="str">
        <x:v>0</x:v>
      </x:c>
      <x:c r="Q189" s="20" t="str">
        <x:v>0</x:v>
      </x:c>
      <x:c r="R189" s="20" t="str">
        <x:v>0</x:v>
      </x:c>
      <x:c r="S189" s="20" t="str">
        <x:v>0</x:v>
      </x:c>
      <x:c r="T189" s="20" t="str">
        <x:v>0</x:v>
      </x:c>
      <x:c r="U189" s="20" t="str">
        <x:v>0</x:v>
      </x:c>
      <x:c r="V189" s="20" t="str">
        <x:v>0</x:v>
      </x:c>
      <x:c r="W189" s="20" t="str">
        <x:v>1</x:v>
      </x:c>
      <x:c r="X189" s="20" t="str">
        <x:v>0</x:v>
      </x:c>
      <x:c r="Y189" s="20" t="str">
        <x:v>0</x:v>
      </x:c>
      <x:c r="Z189" s="20" t="str">
        <x:v>0</x:v>
      </x:c>
      <x:c r="AA189" s="20" t="str">
        <x:v>0</x:v>
      </x:c>
      <x:c r="AB189" s="20" t="str">
        <x:v>0</x:v>
      </x:c>
      <x:c r="AC189" s="20" t="str">
        <x:v>0</x:v>
      </x:c>
      <x:c r="AD189" s="20" t="str">
        <x:v>0</x:v>
      </x:c>
      <x:c r="AE189" s="20" t="str">
        <x:v>0</x:v>
      </x:c>
    </x:row>
    <x:row r="190">
      <x:c r="A190" s="20" t="str">
        <x:v>bustos2020_padchest_chest_x</x:v>
      </x:c>
      <x:c r="B190" s="20" t="str">
        <x:v>2020</x:v>
      </x:c>
      <x:c r="C190" s="20" t="str">
        <x:v>PadChest: A Large Chest X-Ray Image Dataset with Multi-label Annotated Reports</x:v>
      </x:c>
      <x:c r="D190" s="20" t="str">
        <x:v>11_Clinical_NLP_Datasets</x:v>
      </x:c>
      <x:c r="E190" s="20" t="str">
        <x:v>0</x:v>
      </x:c>
      <x:c r="F190" s="20" t="str">
        <x:v>0</x:v>
      </x:c>
      <x:c r="G190" s="20" t="str">
        <x:v>0</x:v>
      </x:c>
      <x:c r="H190" s="20" t="str">
        <x:v>0</x:v>
      </x:c>
      <x:c r="I190" s="20" t="str">
        <x:v>0</x:v>
      </x:c>
      <x:c r="J190" s="20" t="str">
        <x:v>0</x:v>
      </x:c>
      <x:c r="K190" s="20" t="str">
        <x:v>0</x:v>
      </x:c>
      <x:c r="L190" s="20" t="str">
        <x:v>0</x:v>
      </x:c>
      <x:c r="M190" s="20" t="str">
        <x:v>0</x:v>
      </x:c>
      <x:c r="N190" s="20" t="str">
        <x:v>0</x:v>
      </x:c>
      <x:c r="O190" s="20" t="str">
        <x:v>0</x:v>
      </x:c>
      <x:c r="P190" s="20" t="str">
        <x:v>0</x:v>
      </x:c>
      <x:c r="Q190" s="20" t="str">
        <x:v>0</x:v>
      </x:c>
      <x:c r="R190" s="20" t="str">
        <x:v>0</x:v>
      </x:c>
      <x:c r="S190" s="20" t="str">
        <x:v>0</x:v>
      </x:c>
      <x:c r="T190" s="20" t="str">
        <x:v>0</x:v>
      </x:c>
      <x:c r="U190" s="20" t="str">
        <x:v>0</x:v>
      </x:c>
      <x:c r="V190" s="20" t="str">
        <x:v>0</x:v>
      </x:c>
      <x:c r="W190" s="20" t="str">
        <x:v>1</x:v>
      </x:c>
      <x:c r="X190" s="20" t="str">
        <x:v>0</x:v>
      </x:c>
      <x:c r="Y190" s="20" t="str">
        <x:v>0</x:v>
      </x:c>
      <x:c r="Z190" s="20" t="str">
        <x:v>0</x:v>
      </x:c>
      <x:c r="AA190" s="20" t="str">
        <x:v>0</x:v>
      </x:c>
      <x:c r="AB190" s="20" t="str">
        <x:v>0</x:v>
      </x:c>
      <x:c r="AC190" s="20" t="str">
        <x:v>0</x:v>
      </x:c>
      <x:c r="AD190" s="20" t="str">
        <x:v>0</x:v>
      </x:c>
      <x:c r="AE190" s="20" t="str">
        <x:v>0</x:v>
      </x:c>
    </x:row>
    <x:row r="191">
      <x:c r="A191" s="20" t="str">
        <x:v>demnerfushman2016_preparing_collection_radiology</x:v>
      </x:c>
      <x:c r="B191" s="20" t="str">
        <x:v>2016</x:v>
      </x:c>
      <x:c r="C191" s="20" t="str">
        <x:v>Preparing a Collection of Radiology Examinations for Distribution and Retrieval</x:v>
      </x:c>
      <x:c r="D191" s="20" t="str">
        <x:v>11_Clinical_NLP_Datasets</x:v>
      </x:c>
      <x:c r="E191" s="20" t="str">
        <x:v>0</x:v>
      </x:c>
      <x:c r="F191" s="20" t="str">
        <x:v>0</x:v>
      </x:c>
      <x:c r="G191" s="20" t="str">
        <x:v>0</x:v>
      </x:c>
      <x:c r="H191" s="20" t="str">
        <x:v>0</x:v>
      </x:c>
      <x:c r="I191" s="20" t="str">
        <x:v>0</x:v>
      </x:c>
      <x:c r="J191" s="20" t="str">
        <x:v>0</x:v>
      </x:c>
      <x:c r="K191" s="20" t="str">
        <x:v>0</x:v>
      </x:c>
      <x:c r="L191" s="20" t="str">
        <x:v>0</x:v>
      </x:c>
      <x:c r="M191" s="20" t="str">
        <x:v>0</x:v>
      </x:c>
      <x:c r="N191" s="20" t="str">
        <x:v>0</x:v>
      </x:c>
      <x:c r="O191" s="20" t="str">
        <x:v>0</x:v>
      </x:c>
      <x:c r="P191" s="20" t="str">
        <x:v>0</x:v>
      </x:c>
      <x:c r="Q191" s="20" t="str">
        <x:v>0</x:v>
      </x:c>
      <x:c r="R191" s="20" t="str">
        <x:v>0</x:v>
      </x:c>
      <x:c r="S191" s="20" t="str">
        <x:v>0</x:v>
      </x:c>
      <x:c r="T191" s="20" t="str">
        <x:v>0</x:v>
      </x:c>
      <x:c r="U191" s="20" t="str">
        <x:v>0</x:v>
      </x:c>
      <x:c r="V191" s="20" t="str">
        <x:v>0</x:v>
      </x:c>
      <x:c r="W191" s="20" t="str">
        <x:v>1</x:v>
      </x:c>
      <x:c r="X191" s="20" t="str">
        <x:v>0</x:v>
      </x:c>
      <x:c r="Y191" s="20" t="str">
        <x:v>0</x:v>
      </x:c>
      <x:c r="Z191" s="20" t="str">
        <x:v>0</x:v>
      </x:c>
      <x:c r="AA191" s="20" t="str">
        <x:v>0</x:v>
      </x:c>
      <x:c r="AB191" s="20" t="str">
        <x:v>0</x:v>
      </x:c>
      <x:c r="AC191" s="20" t="str">
        <x:v>0</x:v>
      </x:c>
      <x:c r="AD191" s="20" t="str">
        <x:v>0</x:v>
      </x:c>
      <x:c r="AE191" s="20" t="str">
        <x:v>0</x:v>
      </x:c>
    </x:row>
    <x:row r="192">
      <x:c r="A192" s="20" t="str">
        <x:v>uzuner2011_2010_i2b2_va</x:v>
      </x:c>
      <x:c r="B192" s="20" t="str">
        <x:v>2011</x:v>
      </x:c>
      <x:c r="C192" s="20" t="str">
        <x:v>2010 i2b2/VA Challenge on Concepts, Assertions, and Relations in Clinical Text</x:v>
      </x:c>
      <x:c r="D192" s="20" t="str">
        <x:v>11_Clinical_NLP_Datasets</x:v>
      </x:c>
      <x:c r="E192" s="20" t="str">
        <x:v>0</x:v>
      </x:c>
      <x:c r="F192" s="20" t="str">
        <x:v>0</x:v>
      </x:c>
      <x:c r="G192" s="20" t="str">
        <x:v>0</x:v>
      </x:c>
      <x:c r="H192" s="20" t="str">
        <x:v>0</x:v>
      </x:c>
      <x:c r="I192" s="20" t="str">
        <x:v>0</x:v>
      </x:c>
      <x:c r="J192" s="20" t="str">
        <x:v>0</x:v>
      </x:c>
      <x:c r="K192" s="20" t="str">
        <x:v>0</x:v>
      </x:c>
      <x:c r="L192" s="20" t="str">
        <x:v>0</x:v>
      </x:c>
      <x:c r="M192" s="20" t="str">
        <x:v>0</x:v>
      </x:c>
      <x:c r="N192" s="20" t="str">
        <x:v>0</x:v>
      </x:c>
      <x:c r="O192" s="20" t="str">
        <x:v>0</x:v>
      </x:c>
      <x:c r="P192" s="20" t="str">
        <x:v>0</x:v>
      </x:c>
      <x:c r="Q192" s="20" t="str">
        <x:v>0</x:v>
      </x:c>
      <x:c r="R192" s="20" t="str">
        <x:v>0</x:v>
      </x:c>
      <x:c r="S192" s="20" t="str">
        <x:v>0</x:v>
      </x:c>
      <x:c r="T192" s="20" t="str">
        <x:v>0</x:v>
      </x:c>
      <x:c r="U192" s="20" t="str">
        <x:v>0</x:v>
      </x:c>
      <x:c r="V192" s="20" t="str">
        <x:v>0</x:v>
      </x:c>
      <x:c r="W192" s="20" t="str">
        <x:v>0</x:v>
      </x:c>
      <x:c r="X192" s="20" t="str">
        <x:v>0</x:v>
      </x:c>
      <x:c r="Y192" s="20" t="str">
        <x:v>1</x:v>
      </x:c>
      <x:c r="Z192" s="20" t="str">
        <x:v>0</x:v>
      </x:c>
      <x:c r="AA192" s="20" t="str">
        <x:v>0</x:v>
      </x:c>
      <x:c r="AB192" s="20" t="str">
        <x:v>0</x:v>
      </x:c>
      <x:c r="AC192" s="20" t="str">
        <x:v>0</x:v>
      </x:c>
      <x:c r="AD192" s="20" t="str">
        <x:v>0</x:v>
      </x:c>
      <x:c r="AE192" s="20" t="str">
        <x:v>0</x:v>
      </x:c>
    </x:row>
    <x:row r="193">
      <x:c r="A193" s="20" t="str">
        <x:v>uzuner2007_evaluating_state_art</x:v>
      </x:c>
      <x:c r="B193" s="20" t="str">
        <x:v>2007</x:v>
      </x:c>
      <x:c r="C193" s="20" t="str">
        <x:v>Evaluating the State-of-the-Art in Automatic De-identification</x:v>
      </x:c>
      <x:c r="D193" s="20" t="str">
        <x:v>11_Clinical_NLP_Datasets</x:v>
      </x:c>
      <x:c r="E193" s="20" t="str">
        <x:v>0</x:v>
      </x:c>
      <x:c r="F193" s="20" t="str">
        <x:v>0</x:v>
      </x:c>
      <x:c r="G193" s="20" t="str">
        <x:v>0</x:v>
      </x:c>
      <x:c r="H193" s="20" t="str">
        <x:v>0</x:v>
      </x:c>
      <x:c r="I193" s="20" t="str">
        <x:v>0</x:v>
      </x:c>
      <x:c r="J193" s="20" t="str">
        <x:v>0</x:v>
      </x:c>
      <x:c r="K193" s="20" t="str">
        <x:v>0</x:v>
      </x:c>
      <x:c r="L193" s="20" t="str">
        <x:v>0</x:v>
      </x:c>
      <x:c r="M193" s="20" t="str">
        <x:v>0</x:v>
      </x:c>
      <x:c r="N193" s="20" t="str">
        <x:v>0</x:v>
      </x:c>
      <x:c r="O193" s="20" t="str">
        <x:v>0</x:v>
      </x:c>
      <x:c r="P193" s="20" t="str">
        <x:v>0</x:v>
      </x:c>
      <x:c r="Q193" s="20" t="str">
        <x:v>0</x:v>
      </x:c>
      <x:c r="R193" s="20" t="str">
        <x:v>0</x:v>
      </x:c>
      <x:c r="S193" s="20" t="str">
        <x:v>0</x:v>
      </x:c>
      <x:c r="T193" s="20" t="str">
        <x:v>0</x:v>
      </x:c>
      <x:c r="U193" s="20" t="str">
        <x:v>0</x:v>
      </x:c>
      <x:c r="V193" s="20" t="str">
        <x:v>0</x:v>
      </x:c>
      <x:c r="W193" s="20" t="str">
        <x:v>1</x:v>
      </x:c>
      <x:c r="X193" s="20" t="str">
        <x:v>0</x:v>
      </x:c>
      <x:c r="Y193" s="20" t="str">
        <x:v>0</x:v>
      </x:c>
      <x:c r="Z193" s="20" t="str">
        <x:v>0</x:v>
      </x:c>
      <x:c r="AA193" s="20" t="str">
        <x:v>0</x:v>
      </x:c>
      <x:c r="AB193" s="20" t="str">
        <x:v>0</x:v>
      </x:c>
      <x:c r="AC193" s="20" t="str">
        <x:v>0</x:v>
      </x:c>
      <x:c r="AD193" s="20" t="str">
        <x:v>0</x:v>
      </x:c>
      <x:c r="AE193" s="20" t="str">
        <x:v>0</x:v>
      </x:c>
    </x:row>
    <x:row r="194">
      <x:c r="A194" s="20" t="str">
        <x:v>henry2020_2018_n2c2_shared</x:v>
      </x:c>
      <x:c r="B194" s="20" t="str">
        <x:v>2020</x:v>
      </x:c>
      <x:c r="C194" s="20" t="str">
        <x:v>2018 n2c2 Shared Task on Adverse Drug Events and Medication Extraction in Electronic Health Records</x:v>
      </x:c>
      <x:c r="D194" s="20" t="str">
        <x:v>11_Clinical_NLP_Datasets</x:v>
      </x:c>
      <x:c r="E194" s="20" t="str">
        <x:v>0</x:v>
      </x:c>
      <x:c r="F194" s="20" t="str">
        <x:v>0</x:v>
      </x:c>
      <x:c r="G194" s="20" t="str">
        <x:v>0</x:v>
      </x:c>
      <x:c r="H194" s="20" t="str">
        <x:v>0</x:v>
      </x:c>
      <x:c r="I194" s="20" t="str">
        <x:v>0</x:v>
      </x:c>
      <x:c r="J194" s="20" t="str">
        <x:v>0</x:v>
      </x:c>
      <x:c r="K194" s="20" t="str">
        <x:v>0</x:v>
      </x:c>
      <x:c r="L194" s="20" t="str">
        <x:v>0</x:v>
      </x:c>
      <x:c r="M194" s="20" t="str">
        <x:v>0</x:v>
      </x:c>
      <x:c r="N194" s="20" t="str">
        <x:v>0</x:v>
      </x:c>
      <x:c r="O194" s="20" t="str">
        <x:v>1</x:v>
      </x:c>
      <x:c r="P194" s="20" t="str">
        <x:v>0</x:v>
      </x:c>
      <x:c r="Q194" s="20" t="str">
        <x:v>0</x:v>
      </x:c>
      <x:c r="R194" s="20" t="str">
        <x:v>0</x:v>
      </x:c>
      <x:c r="S194" s="20" t="str">
        <x:v>0</x:v>
      </x:c>
      <x:c r="T194" s="20" t="str">
        <x:v>0</x:v>
      </x:c>
      <x:c r="U194" s="20" t="str">
        <x:v>0</x:v>
      </x:c>
      <x:c r="V194" s="20" t="str">
        <x:v>0</x:v>
      </x:c>
      <x:c r="W194" s="20" t="str">
        <x:v>0</x:v>
      </x:c>
      <x:c r="X194" s="20" t="str">
        <x:v>0</x:v>
      </x:c>
      <x:c r="Y194" s="20" t="str">
        <x:v>0</x:v>
      </x:c>
      <x:c r="Z194" s="20" t="str">
        <x:v>0</x:v>
      </x:c>
      <x:c r="AA194" s="20" t="str">
        <x:v>0</x:v>
      </x:c>
      <x:c r="AB194" s="20" t="str">
        <x:v>0</x:v>
      </x:c>
      <x:c r="AC194" s="20" t="str">
        <x:v>0</x:v>
      </x:c>
      <x:c r="AD194" s="20" t="str">
        <x:v>0</x:v>
      </x:c>
      <x:c r="AE194" s="20" t="str">
        <x:v>0</x:v>
      </x:c>
    </x:row>
    <x:row r="195">
      <x:c r="A195" s="20" t="str">
        <x:v>soysal2018_clamp_toolkit_efficiently</x:v>
      </x:c>
      <x:c r="B195" s="20" t="str">
        <x:v>2018</x:v>
      </x:c>
      <x:c r="C195" s="20" t="str">
        <x:v>CLAMP: A Toolkit for Efficiently Building Customized Clinical Natural Language Processing Pipelines</x:v>
      </x:c>
      <x:c r="D195" s="20" t="str">
        <x:v>11_Clinical_NLP_Datasets</x:v>
      </x:c>
      <x:c r="E195" s="20" t="str">
        <x:v>0</x:v>
      </x:c>
      <x:c r="F195" s="20" t="str">
        <x:v>0</x:v>
      </x:c>
      <x:c r="G195" s="20" t="str">
        <x:v>0</x:v>
      </x:c>
      <x:c r="H195" s="20" t="str">
        <x:v>0</x:v>
      </x:c>
      <x:c r="I195" s="20" t="str">
        <x:v>0</x:v>
      </x:c>
      <x:c r="J195" s="20" t="str">
        <x:v>0</x:v>
      </x:c>
      <x:c r="K195" s="20" t="str">
        <x:v>0</x:v>
      </x:c>
      <x:c r="L195" s="20" t="str">
        <x:v>0</x:v>
      </x:c>
      <x:c r="M195" s="20" t="str">
        <x:v>0</x:v>
      </x:c>
      <x:c r="N195" s="20" t="str">
        <x:v>0</x:v>
      </x:c>
      <x:c r="O195" s="20" t="str">
        <x:v>1</x:v>
      </x:c>
      <x:c r="P195" s="20" t="str">
        <x:v>0</x:v>
      </x:c>
      <x:c r="Q195" s="20" t="str">
        <x:v>0</x:v>
      </x:c>
      <x:c r="R195" s="20" t="str">
        <x:v>0</x:v>
      </x:c>
      <x:c r="S195" s="20" t="str">
        <x:v>0</x:v>
      </x:c>
      <x:c r="T195" s="20" t="str">
        <x:v>0</x:v>
      </x:c>
      <x:c r="U195" s="20" t="str">
        <x:v>0</x:v>
      </x:c>
      <x:c r="V195" s="20" t="str">
        <x:v>0</x:v>
      </x:c>
      <x:c r="W195" s="20" t="str">
        <x:v>0</x:v>
      </x:c>
      <x:c r="X195" s="20" t="str">
        <x:v>0</x:v>
      </x:c>
      <x:c r="Y195" s="20" t="str">
        <x:v>0</x:v>
      </x:c>
      <x:c r="Z195" s="20" t="str">
        <x:v>0</x:v>
      </x:c>
      <x:c r="AA195" s="20" t="str">
        <x:v>0</x:v>
      </x:c>
      <x:c r="AB195" s="20" t="str">
        <x:v>0</x:v>
      </x:c>
      <x:c r="AC195" s="20" t="str">
        <x:v>0</x:v>
      </x:c>
      <x:c r="AD195" s="20" t="str">
        <x:v>0</x:v>
      </x:c>
      <x:c r="AE195" s="20" t="str">
        <x:v>0</x:v>
      </x:c>
    </x:row>
    <x:row r="196">
      <x:c r="A196" s="20" t="str">
        <x:v>savova2010_mayo_clinical_text</x:v>
      </x:c>
      <x:c r="B196" s="20" t="str">
        <x:v>2010</x:v>
      </x:c>
      <x:c r="C196" s="20" t="str">
        <x:v>Mayo Clinical Text Analysis and Knowledge Extraction System (cTAKES): Architecture, Component Evaluation and Applications</x:v>
      </x:c>
      <x:c r="D196" s="20" t="str">
        <x:v>11_Clinical_NLP_Datasets</x:v>
      </x:c>
      <x:c r="E196" s="20" t="str">
        <x:v>0</x:v>
      </x:c>
      <x:c r="F196" s="20" t="str">
        <x:v>0</x:v>
      </x:c>
      <x:c r="G196" s="20" t="str">
        <x:v>0</x:v>
      </x:c>
      <x:c r="H196" s="20" t="str">
        <x:v>0</x:v>
      </x:c>
      <x:c r="I196" s="20" t="str">
        <x:v>0</x:v>
      </x:c>
      <x:c r="J196" s="20" t="str">
        <x:v>0</x:v>
      </x:c>
      <x:c r="K196" s="20" t="str">
        <x:v>0</x:v>
      </x:c>
      <x:c r="L196" s="20" t="str">
        <x:v>0</x:v>
      </x:c>
      <x:c r="M196" s="20" t="str">
        <x:v>0</x:v>
      </x:c>
      <x:c r="N196" s="20" t="str">
        <x:v>0</x:v>
      </x:c>
      <x:c r="O196" s="20" t="str">
        <x:v>1</x:v>
      </x:c>
      <x:c r="P196" s="20" t="str">
        <x:v>0</x:v>
      </x:c>
      <x:c r="Q196" s="20" t="str">
        <x:v>0</x:v>
      </x:c>
      <x:c r="R196" s="20" t="str">
        <x:v>0</x:v>
      </x:c>
      <x:c r="S196" s="20" t="str">
        <x:v>0</x:v>
      </x:c>
      <x:c r="T196" s="20" t="str">
        <x:v>0</x:v>
      </x:c>
      <x:c r="U196" s="20" t="str">
        <x:v>0</x:v>
      </x:c>
      <x:c r="V196" s="20" t="str">
        <x:v>0</x:v>
      </x:c>
      <x:c r="W196" s="20" t="str">
        <x:v>0</x:v>
      </x:c>
      <x:c r="X196" s="20" t="str">
        <x:v>0</x:v>
      </x:c>
      <x:c r="Y196" s="20" t="str">
        <x:v>0</x:v>
      </x:c>
      <x:c r="Z196" s="20" t="str">
        <x:v>0</x:v>
      </x:c>
      <x:c r="AA196" s="20" t="str">
        <x:v>0</x:v>
      </x:c>
      <x:c r="AB196" s="20" t="str">
        <x:v>0</x:v>
      </x:c>
      <x:c r="AC196" s="20" t="str">
        <x:v>0</x:v>
      </x:c>
      <x:c r="AD196" s="20" t="str">
        <x:v>0</x:v>
      </x:c>
      <x:c r="AE196" s="20" t="str">
        <x:v>0</x:v>
      </x:c>
    </x:row>
    <x:row r="197">
      <x:c r="A197" s="20" t="str">
        <x:v>aronson2010_overview_metamap_historical</x:v>
      </x:c>
      <x:c r="B197" s="20" t="str">
        <x:v>2010</x:v>
      </x:c>
      <x:c r="C197" s="20" t="str">
        <x:v>An Overview of MetaMap: Historical Perspective and Recent Advances</x:v>
      </x:c>
      <x:c r="D197" s="20" t="str">
        <x:v>11_Clinical_NLP_Datasets</x:v>
      </x:c>
      <x:c r="E197" s="20" t="str">
        <x:v>0</x:v>
      </x:c>
      <x:c r="F197" s="20" t="str">
        <x:v>0</x:v>
      </x:c>
      <x:c r="G197" s="20" t="str">
        <x:v>0</x:v>
      </x:c>
      <x:c r="H197" s="20" t="str">
        <x:v>0</x:v>
      </x:c>
      <x:c r="I197" s="20" t="str">
        <x:v>0</x:v>
      </x:c>
      <x:c r="J197" s="20" t="str">
        <x:v>0</x:v>
      </x:c>
      <x:c r="K197" s="20" t="str">
        <x:v>0</x:v>
      </x:c>
      <x:c r="L197" s="20" t="str">
        <x:v>0</x:v>
      </x:c>
      <x:c r="M197" s="20" t="str">
        <x:v>0</x:v>
      </x:c>
      <x:c r="N197" s="20" t="str">
        <x:v>0</x:v>
      </x:c>
      <x:c r="O197" s="20" t="str">
        <x:v>1</x:v>
      </x:c>
      <x:c r="P197" s="20" t="str">
        <x:v>0</x:v>
      </x:c>
      <x:c r="Q197" s="20" t="str">
        <x:v>0</x:v>
      </x:c>
      <x:c r="R197" s="20" t="str">
        <x:v>0</x:v>
      </x:c>
      <x:c r="S197" s="20" t="str">
        <x:v>0</x:v>
      </x:c>
      <x:c r="T197" s="20" t="str">
        <x:v>0</x:v>
      </x:c>
      <x:c r="U197" s="20" t="str">
        <x:v>0</x:v>
      </x:c>
      <x:c r="V197" s="20" t="str">
        <x:v>0</x:v>
      </x:c>
      <x:c r="W197" s="20" t="str">
        <x:v>0</x:v>
      </x:c>
      <x:c r="X197" s="20" t="str">
        <x:v>0</x:v>
      </x:c>
      <x:c r="Y197" s="20" t="str">
        <x:v>0</x:v>
      </x:c>
      <x:c r="Z197" s="20" t="str">
        <x:v>0</x:v>
      </x:c>
      <x:c r="AA197" s="20" t="str">
        <x:v>0</x:v>
      </x:c>
      <x:c r="AB197" s="20" t="str">
        <x:v>0</x:v>
      </x:c>
      <x:c r="AC197" s="20" t="str">
        <x:v>0</x:v>
      </x:c>
      <x:c r="AD197" s="20" t="str">
        <x:v>0</x:v>
      </x:c>
      <x:c r="AE197" s="20" t="str">
        <x:v>0</x:v>
      </x:c>
    </x:row>
    <x:row r="198">
      <x:c r="A198" s="20" t="str">
        <x:v>luo2022_natural_language_processing</x:v>
      </x:c>
      <x:c r="B198" s="20" t="str">
        <x:v>2022</x:v>
      </x:c>
      <x:c r="C198" s="20" t="str">
        <x:v>Natural Language Processing for EHR-Based Computational Phenotyping</x:v>
      </x:c>
      <x:c r="D198" s="20" t="str">
        <x:v>11_Clinical_NLP_Datasets</x:v>
      </x:c>
      <x:c r="E198" s="20" t="str">
        <x:v>0</x:v>
      </x:c>
      <x:c r="F198" s="20" t="str">
        <x:v>0</x:v>
      </x:c>
      <x:c r="G198" s="20" t="str">
        <x:v>0</x:v>
      </x:c>
      <x:c r="H198" s="20" t="str">
        <x:v>0</x:v>
      </x:c>
      <x:c r="I198" s="20" t="str">
        <x:v>0</x:v>
      </x:c>
      <x:c r="J198" s="20" t="str">
        <x:v>0</x:v>
      </x:c>
      <x:c r="K198" s="20" t="str">
        <x:v>0</x:v>
      </x:c>
      <x:c r="L198" s="20" t="str">
        <x:v>0</x:v>
      </x:c>
      <x:c r="M198" s="20" t="str">
        <x:v>0</x:v>
      </x:c>
      <x:c r="N198" s="20" t="str">
        <x:v>0</x:v>
      </x:c>
      <x:c r="O198" s="20" t="str">
        <x:v>0</x:v>
      </x:c>
      <x:c r="P198" s="20" t="str">
        <x:v>0</x:v>
      </x:c>
      <x:c r="Q198" s="20" t="str">
        <x:v>0</x:v>
      </x:c>
      <x:c r="R198" s="20" t="str">
        <x:v>0</x:v>
      </x:c>
      <x:c r="S198" s="20" t="str">
        <x:v>0</x:v>
      </x:c>
      <x:c r="T198" s="20" t="str">
        <x:v>0</x:v>
      </x:c>
      <x:c r="U198" s="20" t="str">
        <x:v>0</x:v>
      </x:c>
      <x:c r="V198" s="20" t="str">
        <x:v>0</x:v>
      </x:c>
      <x:c r="W198" s="20" t="str">
        <x:v>1</x:v>
      </x:c>
      <x:c r="X198" s="20" t="str">
        <x:v>0</x:v>
      </x:c>
      <x:c r="Y198" s="20" t="str">
        <x:v>0</x:v>
      </x:c>
      <x:c r="Z198" s="20" t="str">
        <x:v>0</x:v>
      </x:c>
      <x:c r="AA198" s="20" t="str">
        <x:v>0</x:v>
      </x:c>
      <x:c r="AB198" s="20" t="str">
        <x:v>0</x:v>
      </x:c>
      <x:c r="AC198" s="20" t="str">
        <x:v>0</x:v>
      </x:c>
      <x:c r="AD198" s="20" t="str">
        <x:v>0</x:v>
      </x:c>
      <x:c r="AE198" s="20" t="str">
        <x:v>0</x:v>
      </x:c>
    </x:row>
    <x:row r="199">
      <x:c r="A199" s="20" t="str">
        <x:v>wang2018_clinical_information_extraction</x:v>
      </x:c>
      <x:c r="B199" s="20" t="str">
        <x:v>2018</x:v>
      </x:c>
      <x:c r="C199" s="20" t="str">
        <x:v>Clinical Information Extraction Applications: A Literature Review</x:v>
      </x:c>
      <x:c r="D199" s="20" t="str">
        <x:v>11_Clinical_NLP_Datasets</x:v>
      </x:c>
      <x:c r="E199" s="20" t="str">
        <x:v>0</x:v>
      </x:c>
      <x:c r="F199" s="20" t="str">
        <x:v>0</x:v>
      </x:c>
      <x:c r="G199" s="20" t="str">
        <x:v>0</x:v>
      </x:c>
      <x:c r="H199" s="20" t="str">
        <x:v>0</x:v>
      </x:c>
      <x:c r="I199" s="20" t="str">
        <x:v>0</x:v>
      </x:c>
      <x:c r="J199" s="20" t="str">
        <x:v>0</x:v>
      </x:c>
      <x:c r="K199" s="20" t="str">
        <x:v>0</x:v>
      </x:c>
      <x:c r="L199" s="20" t="str">
        <x:v>0</x:v>
      </x:c>
      <x:c r="M199" s="20" t="str">
        <x:v>0</x:v>
      </x:c>
      <x:c r="N199" s="20" t="str">
        <x:v>0</x:v>
      </x:c>
      <x:c r="O199" s="20" t="str">
        <x:v>0</x:v>
      </x:c>
      <x:c r="P199" s="20" t="str">
        <x:v>0</x:v>
      </x:c>
      <x:c r="Q199" s="20" t="str">
        <x:v>0</x:v>
      </x:c>
      <x:c r="R199" s="20" t="str">
        <x:v>0</x:v>
      </x:c>
      <x:c r="S199" s="20" t="str">
        <x:v>0</x:v>
      </x:c>
      <x:c r="T199" s="20" t="str">
        <x:v>0</x:v>
      </x:c>
      <x:c r="U199" s="20" t="str">
        <x:v>0</x:v>
      </x:c>
      <x:c r="V199" s="20" t="str">
        <x:v>0</x:v>
      </x:c>
      <x:c r="W199" s="20" t="str">
        <x:v>1</x:v>
      </x:c>
      <x:c r="X199" s="20" t="str">
        <x:v>0</x:v>
      </x:c>
      <x:c r="Y199" s="20" t="str">
        <x:v>0</x:v>
      </x:c>
      <x:c r="Z199" s="20" t="str">
        <x:v>0</x:v>
      </x:c>
      <x:c r="AA199" s="20" t="str">
        <x:v>0</x:v>
      </x:c>
      <x:c r="AB199" s="20" t="str">
        <x:v>0</x:v>
      </x:c>
      <x:c r="AC199" s="20" t="str">
        <x:v>0</x:v>
      </x:c>
      <x:c r="AD199" s="20" t="str">
        <x:v>0</x:v>
      </x:c>
      <x:c r="AE199" s="20" t="str">
        <x:v>0</x:v>
      </x:c>
    </x:row>
    <x:row r="200">
      <x:c r="A200" s="20" t="str">
        <x:v>jensen2012_mining_electronic_health</x:v>
      </x:c>
      <x:c r="B200" s="20" t="str">
        <x:v>2012</x:v>
      </x:c>
      <x:c r="C200" s="20" t="str">
        <x:v>Mining Electronic Health Records: Towards Better Research Applications and Clinical Care</x:v>
      </x:c>
      <x:c r="D200" s="20" t="str">
        <x:v>11_Clinical_NLP_Datasets</x:v>
      </x:c>
      <x:c r="E200" s="20" t="str">
        <x:v>0</x:v>
      </x:c>
      <x:c r="F200" s="20" t="str">
        <x:v>0</x:v>
      </x:c>
      <x:c r="G200" s="20" t="str">
        <x:v>0</x:v>
      </x:c>
      <x:c r="H200" s="20" t="str">
        <x:v>0</x:v>
      </x:c>
      <x:c r="I200" s="20" t="str">
        <x:v>0</x:v>
      </x:c>
      <x:c r="J200" s="20" t="str">
        <x:v>0</x:v>
      </x:c>
      <x:c r="K200" s="20" t="str">
        <x:v>0</x:v>
      </x:c>
      <x:c r="L200" s="20" t="str">
        <x:v>0</x:v>
      </x:c>
      <x:c r="M200" s="20" t="str">
        <x:v>0</x:v>
      </x:c>
      <x:c r="N200" s="20" t="str">
        <x:v>0</x:v>
      </x:c>
      <x:c r="O200" s="20" t="str">
        <x:v>0</x:v>
      </x:c>
      <x:c r="P200" s="20" t="str">
        <x:v>0</x:v>
      </x:c>
      <x:c r="Q200" s="20" t="str">
        <x:v>0</x:v>
      </x:c>
      <x:c r="R200" s="20" t="str">
        <x:v>0</x:v>
      </x:c>
      <x:c r="S200" s="20" t="str">
        <x:v>0</x:v>
      </x:c>
      <x:c r="T200" s="20" t="str">
        <x:v>0</x:v>
      </x:c>
      <x:c r="U200" s="20" t="str">
        <x:v>0</x:v>
      </x:c>
      <x:c r="V200" s="20" t="str">
        <x:v>0</x:v>
      </x:c>
      <x:c r="W200" s="20" t="str">
        <x:v>1</x:v>
      </x:c>
      <x:c r="X200" s="20" t="str">
        <x:v>0</x:v>
      </x:c>
      <x:c r="Y200" s="20" t="str">
        <x:v>0</x:v>
      </x:c>
      <x:c r="Z200" s="20" t="str">
        <x:v>0</x:v>
      </x:c>
      <x:c r="AA200" s="20" t="str">
        <x:v>0</x:v>
      </x:c>
      <x:c r="AB200" s="20" t="str">
        <x:v>0</x:v>
      </x:c>
      <x:c r="AC200" s="20" t="str">
        <x:v>0</x:v>
      </x:c>
      <x:c r="AD200" s="20" t="str">
        <x:v>0</x:v>
      </x:c>
      <x:c r="AE200" s="20" t="str">
        <x:v>0</x:v>
      </x:c>
    </x:row>
    <x:row r="201">
      <x:c r="A201" s="20" t="str">
        <x:v>shickel2018_deep_ehr_recent</x:v>
      </x:c>
      <x:c r="B201" s="20" t="str">
        <x:v>2018</x:v>
      </x:c>
      <x:c r="C201" s="20" t="str">
        <x:v>Deep EHR: A Survey of Recent Advances in Deep Learning Techniques for Electronic Health Record Analysis</x:v>
      </x:c>
      <x:c r="D201" s="20" t="str">
        <x:v>11_Clinical_NLP_Datasets</x:v>
      </x:c>
      <x:c r="E201" s="20" t="str">
        <x:v>0</x:v>
      </x:c>
      <x:c r="F201" s="20" t="str">
        <x:v>0</x:v>
      </x:c>
      <x:c r="G201" s="20" t="str">
        <x:v>0</x:v>
      </x:c>
      <x:c r="H201" s="20" t="str">
        <x:v>0</x:v>
      </x:c>
      <x:c r="I201" s="20" t="str">
        <x:v>0</x:v>
      </x:c>
      <x:c r="J201" s="20" t="str">
        <x:v>0</x:v>
      </x:c>
      <x:c r="K201" s="20" t="str">
        <x:v>0</x:v>
      </x:c>
      <x:c r="L201" s="20" t="str">
        <x:v>0</x:v>
      </x:c>
      <x:c r="M201" s="20" t="str">
        <x:v>0</x:v>
      </x:c>
      <x:c r="N201" s="20" t="str">
        <x:v>0</x:v>
      </x:c>
      <x:c r="O201" s="20" t="str">
        <x:v>0</x:v>
      </x:c>
      <x:c r="P201" s="20" t="str">
        <x:v>0</x:v>
      </x:c>
      <x:c r="Q201" s="20" t="str">
        <x:v>0</x:v>
      </x:c>
      <x:c r="R201" s="20" t="str">
        <x:v>0</x:v>
      </x:c>
      <x:c r="S201" s="20" t="str">
        <x:v>0</x:v>
      </x:c>
      <x:c r="T201" s="20" t="str">
        <x:v>0</x:v>
      </x:c>
      <x:c r="U201" s="20" t="str">
        <x:v>0</x:v>
      </x:c>
      <x:c r="V201" s="20" t="str">
        <x:v>0</x:v>
      </x:c>
      <x:c r="W201" s="20" t="str">
        <x:v>1</x:v>
      </x:c>
      <x:c r="X201" s="20" t="str">
        <x:v>0</x:v>
      </x:c>
      <x:c r="Y201" s="20" t="str">
        <x:v>0</x:v>
      </x:c>
      <x:c r="Z201" s="20" t="str">
        <x:v>0</x:v>
      </x:c>
      <x:c r="AA201" s="20" t="str">
        <x:v>0</x:v>
      </x:c>
      <x:c r="AB201" s="20" t="str">
        <x:v>0</x:v>
      </x:c>
      <x:c r="AC201" s="20" t="str">
        <x:v>0</x:v>
      </x:c>
      <x:c r="AD201" s="20" t="str">
        <x:v>0</x:v>
      </x:c>
      <x:c r="AE201" s="20" t="str">
        <x:v>0</x:v>
      </x:c>
    </x:row>
    <x:row r="202">
      <x:c r="A202" s="20" t="str">
        <x:v>wallace2016_extracting_pico_sentences</x:v>
      </x:c>
      <x:c r="B202" s="20" t="str">
        <x:v>2016</x:v>
      </x:c>
      <x:c r="C202" s="20" t="str">
        <x:v>Extracting PICO Sentences from Clinical Trial Reports Using Supervised Distant Supervision</x:v>
      </x:c>
      <x:c r="D202" s="20" t="str">
        <x:v>12_Clinical_Summarization_Health_Literacy</x:v>
      </x:c>
      <x:c r="E202" s="20" t="str">
        <x:v>0</x:v>
      </x:c>
      <x:c r="F202" s="20" t="str">
        <x:v>0</x:v>
      </x:c>
      <x:c r="G202" s="20" t="str">
        <x:v>0</x:v>
      </x:c>
      <x:c r="H202" s="20" t="str">
        <x:v>0</x:v>
      </x:c>
      <x:c r="I202" s="20" t="str">
        <x:v>0</x:v>
      </x:c>
      <x:c r="J202" s="20" t="str">
        <x:v>0</x:v>
      </x:c>
      <x:c r="K202" s="20" t="str">
        <x:v>0</x:v>
      </x:c>
      <x:c r="L202" s="20" t="str">
        <x:v>0</x:v>
      </x:c>
      <x:c r="M202" s="20" t="str">
        <x:v>0</x:v>
      </x:c>
      <x:c r="N202" s="20" t="str">
        <x:v>0</x:v>
      </x:c>
      <x:c r="O202" s="20" t="str">
        <x:v>0</x:v>
      </x:c>
      <x:c r="P202" s="20" t="str">
        <x:v>0</x:v>
      </x:c>
      <x:c r="Q202" s="20" t="str">
        <x:v>0</x:v>
      </x:c>
      <x:c r="R202" s="20" t="str">
        <x:v>0</x:v>
      </x:c>
      <x:c r="S202" s="20" t="str">
        <x:v>0</x:v>
      </x:c>
      <x:c r="T202" s="20" t="str">
        <x:v>0</x:v>
      </x:c>
      <x:c r="U202" s="20" t="str">
        <x:v>0</x:v>
      </x:c>
      <x:c r="V202" s="20" t="str">
        <x:v>0</x:v>
      </x:c>
      <x:c r="W202" s="20" t="str">
        <x:v>1</x:v>
      </x:c>
      <x:c r="X202" s="20" t="str">
        <x:v>0</x:v>
      </x:c>
      <x:c r="Y202" s="20" t="str">
        <x:v>0</x:v>
      </x:c>
      <x:c r="Z202" s="20" t="str">
        <x:v>0</x:v>
      </x:c>
      <x:c r="AA202" s="20" t="str">
        <x:v>0</x:v>
      </x:c>
      <x:c r="AB202" s="20" t="str">
        <x:v>0</x:v>
      </x:c>
      <x:c r="AC202" s="20" t="str">
        <x:v>0</x:v>
      </x:c>
      <x:c r="AD202" s="20" t="str">
        <x:v>0</x:v>
      </x:c>
      <x:c r="AE202" s="20" t="str">
        <x:v>0</x:v>
      </x:c>
    </x:row>
    <x:row r="203">
      <x:c r="A203" s="20" t="str">
        <x:v>marshall2015_automating_risk_bias</x:v>
      </x:c>
      <x:c r="B203" s="20" t="str">
        <x:v>2015</x:v>
      </x:c>
      <x:c r="C203" s="20" t="str">
        <x:v>Automating Risk of Bias Assessment for Clinical Trials</x:v>
      </x:c>
      <x:c r="D203" s="20" t="str">
        <x:v>12_Clinical_Summarization_Health_Literacy</x:v>
      </x:c>
      <x:c r="E203" s="20" t="str">
        <x:v>0</x:v>
      </x:c>
      <x:c r="F203" s="20" t="str">
        <x:v>0</x:v>
      </x:c>
      <x:c r="G203" s="20" t="str">
        <x:v>0</x:v>
      </x:c>
      <x:c r="H203" s="20" t="str">
        <x:v>0</x:v>
      </x:c>
      <x:c r="I203" s="20" t="str">
        <x:v>0</x:v>
      </x:c>
      <x:c r="J203" s="20" t="str">
        <x:v>0</x:v>
      </x:c>
      <x:c r="K203" s="20" t="str">
        <x:v>0</x:v>
      </x:c>
      <x:c r="L203" s="20" t="str">
        <x:v>0</x:v>
      </x:c>
      <x:c r="M203" s="20" t="str">
        <x:v>0</x:v>
      </x:c>
      <x:c r="N203" s="20" t="str">
        <x:v>0</x:v>
      </x:c>
      <x:c r="O203" s="20" t="str">
        <x:v>0</x:v>
      </x:c>
      <x:c r="P203" s="20" t="str">
        <x:v>0</x:v>
      </x:c>
      <x:c r="Q203" s="20" t="str">
        <x:v>0</x:v>
      </x:c>
      <x:c r="R203" s="20" t="str">
        <x:v>0</x:v>
      </x:c>
      <x:c r="S203" s="20" t="str">
        <x:v>0</x:v>
      </x:c>
      <x:c r="T203" s="20" t="str">
        <x:v>0</x:v>
      </x:c>
      <x:c r="U203" s="20" t="str">
        <x:v>0</x:v>
      </x:c>
      <x:c r="V203" s="20" t="str">
        <x:v>0</x:v>
      </x:c>
      <x:c r="W203" s="20" t="str">
        <x:v>1</x:v>
      </x:c>
      <x:c r="X203" s="20" t="str">
        <x:v>0</x:v>
      </x:c>
      <x:c r="Y203" s="20" t="str">
        <x:v>0</x:v>
      </x:c>
      <x:c r="Z203" s="20" t="str">
        <x:v>0</x:v>
      </x:c>
      <x:c r="AA203" s="20" t="str">
        <x:v>0</x:v>
      </x:c>
      <x:c r="AB203" s="20" t="str">
        <x:v>0</x:v>
      </x:c>
      <x:c r="AC203" s="20" t="str">
        <x:v>0</x:v>
      </x:c>
      <x:c r="AD203" s="20" t="str">
        <x:v>0</x:v>
      </x:c>
      <x:c r="AE203" s="20" t="str">
        <x:v>0</x:v>
      </x:c>
    </x:row>
    <x:row r="204">
      <x:c r="A204" s="20" t="str">
        <x:v>lehman2019_inferring_which_medical</x:v>
      </x:c>
      <x:c r="B204" s="20" t="str">
        <x:v>2019</x:v>
      </x:c>
      <x:c r="C204" s="20" t="str">
        <x:v>Inferring Which Medical Treatments Work from Reports of Clinical Trials</x:v>
      </x:c>
      <x:c r="D204" s="20" t="str">
        <x:v>12_Clinical_Summarization_Health_Literacy</x:v>
      </x:c>
      <x:c r="E204" s="20" t="str">
        <x:v>0</x:v>
      </x:c>
      <x:c r="F204" s="20" t="str">
        <x:v>0</x:v>
      </x:c>
      <x:c r="G204" s="20" t="str">
        <x:v>0</x:v>
      </x:c>
      <x:c r="H204" s="20" t="str">
        <x:v>0</x:v>
      </x:c>
      <x:c r="I204" s="20" t="str">
        <x:v>0</x:v>
      </x:c>
      <x:c r="J204" s="20" t="str">
        <x:v>0</x:v>
      </x:c>
      <x:c r="K204" s="20" t="str">
        <x:v>0</x:v>
      </x:c>
      <x:c r="L204" s="20" t="str">
        <x:v>0</x:v>
      </x:c>
      <x:c r="M204" s="20" t="str">
        <x:v>0</x:v>
      </x:c>
      <x:c r="N204" s="20" t="str">
        <x:v>0</x:v>
      </x:c>
      <x:c r="O204" s="20" t="str">
        <x:v>0</x:v>
      </x:c>
      <x:c r="P204" s="20" t="str">
        <x:v>0</x:v>
      </x:c>
      <x:c r="Q204" s="20" t="str">
        <x:v>0</x:v>
      </x:c>
      <x:c r="R204" s="20" t="str">
        <x:v>0</x:v>
      </x:c>
      <x:c r="S204" s="20" t="str">
        <x:v>0</x:v>
      </x:c>
      <x:c r="T204" s="20" t="str">
        <x:v>0</x:v>
      </x:c>
      <x:c r="U204" s="20" t="str">
        <x:v>0</x:v>
      </x:c>
      <x:c r="V204" s="20" t="str">
        <x:v>0</x:v>
      </x:c>
      <x:c r="W204" s="20" t="str">
        <x:v>0</x:v>
      </x:c>
      <x:c r="X204" s="20" t="str">
        <x:v>0</x:v>
      </x:c>
      <x:c r="Y204" s="20" t="str">
        <x:v>1</x:v>
      </x:c>
      <x:c r="Z204" s="20" t="str">
        <x:v>0</x:v>
      </x:c>
      <x:c r="AA204" s="20" t="str">
        <x:v>0</x:v>
      </x:c>
      <x:c r="AB204" s="20" t="str">
        <x:v>0</x:v>
      </x:c>
      <x:c r="AC204" s="20" t="str">
        <x:v>0</x:v>
      </x:c>
      <x:c r="AD204" s="20" t="str">
        <x:v>0</x:v>
      </x:c>
      <x:c r="AE204" s="20" t="str">
        <x:v>0</x:v>
      </x:c>
    </x:row>
    <x:row r="205">
      <x:c r="A205" s="20" t="str">
        <x:v>wallace2012_deploying_interactive_machine</x:v>
      </x:c>
      <x:c r="B205" s="20" t="str">
        <x:v>2012</x:v>
      </x:c>
      <x:c r="C205" s="20" t="str">
        <x:v>Deploying an Interactive Machine Learning System in an Evidence-based Practice Center</x:v>
      </x:c>
      <x:c r="D205" s="20" t="str">
        <x:v>12_Clinical_Summarization_Health_Literacy</x:v>
      </x:c>
      <x:c r="E205" s="20" t="str">
        <x:v>0</x:v>
      </x:c>
      <x:c r="F205" s="20" t="str">
        <x:v>0</x:v>
      </x:c>
      <x:c r="G205" s="20" t="str">
        <x:v>0</x:v>
      </x:c>
      <x:c r="H205" s="20" t="str">
        <x:v>0</x:v>
      </x:c>
      <x:c r="I205" s="20" t="str">
        <x:v>0</x:v>
      </x:c>
      <x:c r="J205" s="20" t="str">
        <x:v>0</x:v>
      </x:c>
      <x:c r="K205" s="20" t="str">
        <x:v>0</x:v>
      </x:c>
      <x:c r="L205" s="20" t="str">
        <x:v>0</x:v>
      </x:c>
      <x:c r="M205" s="20" t="str">
        <x:v>0</x:v>
      </x:c>
      <x:c r="N205" s="20" t="str">
        <x:v>0</x:v>
      </x:c>
      <x:c r="O205" s="20" t="str">
        <x:v>0</x:v>
      </x:c>
      <x:c r="P205" s="20" t="str">
        <x:v>0</x:v>
      </x:c>
      <x:c r="Q205" s="20" t="str">
        <x:v>0</x:v>
      </x:c>
      <x:c r="R205" s="20" t="str">
        <x:v>0</x:v>
      </x:c>
      <x:c r="S205" s="20" t="str">
        <x:v>0</x:v>
      </x:c>
      <x:c r="T205" s="20" t="str">
        <x:v>0</x:v>
      </x:c>
      <x:c r="U205" s="20" t="str">
        <x:v>0</x:v>
      </x:c>
      <x:c r="V205" s="20" t="str">
        <x:v>0</x:v>
      </x:c>
      <x:c r="W205" s="20" t="str">
        <x:v>1</x:v>
      </x:c>
      <x:c r="X205" s="20" t="str">
        <x:v>0</x:v>
      </x:c>
      <x:c r="Y205" s="20" t="str">
        <x:v>0</x:v>
      </x:c>
      <x:c r="Z205" s="20" t="str">
        <x:v>0</x:v>
      </x:c>
      <x:c r="AA205" s="20" t="str">
        <x:v>0</x:v>
      </x:c>
      <x:c r="AB205" s="20" t="str">
        <x:v>0</x:v>
      </x:c>
      <x:c r="AC205" s="20" t="str">
        <x:v>0</x:v>
      </x:c>
      <x:c r="AD205" s="20" t="str">
        <x:v>0</x:v>
      </x:c>
      <x:c r="AE205" s="20" t="str">
        <x:v>0</x:v>
      </x:c>
    </x:row>
    <x:row r="206">
      <x:c r="A206" s="20" t="str">
        <x:v>mishra2014_text_summarization_biomedical</x:v>
      </x:c>
      <x:c r="B206" s="20" t="str">
        <x:v>2014</x:v>
      </x:c>
      <x:c r="C206" s="20" t="str">
        <x:v>Text Summarization in the Biomedical Domain: A Systematic Review of Recent Research</x:v>
      </x:c>
      <x:c r="D206" s="20" t="str">
        <x:v>12_Clinical_Summarization_Health_Literacy</x:v>
      </x:c>
      <x:c r="E206" s="20" t="str">
        <x:v>0</x:v>
      </x:c>
      <x:c r="F206" s="20" t="str">
        <x:v>0</x:v>
      </x:c>
      <x:c r="G206" s="20" t="str">
        <x:v>0</x:v>
      </x:c>
      <x:c r="H206" s="20" t="str">
        <x:v>0</x:v>
      </x:c>
      <x:c r="I206" s="20" t="str">
        <x:v>0</x:v>
      </x:c>
      <x:c r="J206" s="20" t="str">
        <x:v>0</x:v>
      </x:c>
      <x:c r="K206" s="20" t="str">
        <x:v>0</x:v>
      </x:c>
      <x:c r="L206" s="20" t="str">
        <x:v>0</x:v>
      </x:c>
      <x:c r="M206" s="20" t="str">
        <x:v>0</x:v>
      </x:c>
      <x:c r="N206" s="20" t="str">
        <x:v>0</x:v>
      </x:c>
      <x:c r="O206" s="20" t="str">
        <x:v>0</x:v>
      </x:c>
      <x:c r="P206" s="20" t="str">
        <x:v>0</x:v>
      </x:c>
      <x:c r="Q206" s="20" t="str">
        <x:v>0</x:v>
      </x:c>
      <x:c r="R206" s="20" t="str">
        <x:v>0</x:v>
      </x:c>
      <x:c r="S206" s="20" t="str">
        <x:v>0</x:v>
      </x:c>
      <x:c r="T206" s="20" t="str">
        <x:v>0</x:v>
      </x:c>
      <x:c r="U206" s="20" t="str">
        <x:v>0</x:v>
      </x:c>
      <x:c r="V206" s="20" t="str">
        <x:v>0</x:v>
      </x:c>
      <x:c r="W206" s="20" t="str">
        <x:v>1</x:v>
      </x:c>
      <x:c r="X206" s="20" t="str">
        <x:v>0</x:v>
      </x:c>
      <x:c r="Y206" s="20" t="str">
        <x:v>0</x:v>
      </x:c>
      <x:c r="Z206" s="20" t="str">
        <x:v>0</x:v>
      </x:c>
      <x:c r="AA206" s="20" t="str">
        <x:v>0</x:v>
      </x:c>
      <x:c r="AB206" s="20" t="str">
        <x:v>0</x:v>
      </x:c>
      <x:c r="AC206" s="20" t="str">
        <x:v>0</x:v>
      </x:c>
      <x:c r="AD206" s="20" t="str">
        <x:v>0</x:v>
      </x:c>
      <x:c r="AE206" s="20" t="str">
        <x:v>0</x:v>
      </x:c>
    </x:row>
    <x:row r="207">
      <x:c r="A207" s="20" t="str">
        <x:v>afantenos2005_summarization_medical_documents</x:v>
      </x:c>
      <x:c r="B207" s="20" t="str">
        <x:v>2005</x:v>
      </x:c>
      <x:c r="C207" s="20" t="str">
        <x:v>Summarization from Medical Documents: A Survey</x:v>
      </x:c>
      <x:c r="D207" s="20" t="str">
        <x:v>12_Clinical_Summarization_Health_Literacy</x:v>
      </x:c>
      <x:c r="E207" s="20" t="str">
        <x:v>0</x:v>
      </x:c>
      <x:c r="F207" s="20" t="str">
        <x:v>0</x:v>
      </x:c>
      <x:c r="G207" s="20" t="str">
        <x:v>0</x:v>
      </x:c>
      <x:c r="H207" s="20" t="str">
        <x:v>0</x:v>
      </x:c>
      <x:c r="I207" s="20" t="str">
        <x:v>0</x:v>
      </x:c>
      <x:c r="J207" s="20" t="str">
        <x:v>0</x:v>
      </x:c>
      <x:c r="K207" s="20" t="str">
        <x:v>0</x:v>
      </x:c>
      <x:c r="L207" s="20" t="str">
        <x:v>0</x:v>
      </x:c>
      <x:c r="M207" s="20" t="str">
        <x:v>0</x:v>
      </x:c>
      <x:c r="N207" s="20" t="str">
        <x:v>0</x:v>
      </x:c>
      <x:c r="O207" s="20" t="str">
        <x:v>0</x:v>
      </x:c>
      <x:c r="P207" s="20" t="str">
        <x:v>0</x:v>
      </x:c>
      <x:c r="Q207" s="20" t="str">
        <x:v>0</x:v>
      </x:c>
      <x:c r="R207" s="20" t="str">
        <x:v>0</x:v>
      </x:c>
      <x:c r="S207" s="20" t="str">
        <x:v>0</x:v>
      </x:c>
      <x:c r="T207" s="20" t="str">
        <x:v>0</x:v>
      </x:c>
      <x:c r="U207" s="20" t="str">
        <x:v>0</x:v>
      </x:c>
      <x:c r="V207" s="20" t="str">
        <x:v>0</x:v>
      </x:c>
      <x:c r="W207" s="20" t="str">
        <x:v>1</x:v>
      </x:c>
      <x:c r="X207" s="20" t="str">
        <x:v>0</x:v>
      </x:c>
      <x:c r="Y207" s="20" t="str">
        <x:v>0</x:v>
      </x:c>
      <x:c r="Z207" s="20" t="str">
        <x:v>0</x:v>
      </x:c>
      <x:c r="AA207" s="20" t="str">
        <x:v>0</x:v>
      </x:c>
      <x:c r="AB207" s="20" t="str">
        <x:v>0</x:v>
      </x:c>
      <x:c r="AC207" s="20" t="str">
        <x:v>0</x:v>
      </x:c>
      <x:c r="AD207" s="20" t="str">
        <x:v>0</x:v>
      </x:c>
      <x:c r="AE207" s="20" t="str">
        <x:v>0</x:v>
      </x:c>
    </x:row>
    <x:row r="208">
      <x:c r="A208" s="20" t="str">
        <x:v>demnerfushman2007_answering_clinical_questions</x:v>
      </x:c>
      <x:c r="B208" s="20" t="str">
        <x:v>2007</x:v>
      </x:c>
      <x:c r="C208" s="20" t="str">
        <x:v>Answering Clinical Questions with Knowledge-Based and Statistical Techniques</x:v>
      </x:c>
      <x:c r="D208" s="20" t="str">
        <x:v>12_Clinical_Summarization_Health_Literacy</x:v>
      </x:c>
      <x:c r="E208" s="20" t="str">
        <x:v>0</x:v>
      </x:c>
      <x:c r="F208" s="20" t="str">
        <x:v>0</x:v>
      </x:c>
      <x:c r="G208" s="20" t="str">
        <x:v>0</x:v>
      </x:c>
      <x:c r="H208" s="20" t="str">
        <x:v>0</x:v>
      </x:c>
      <x:c r="I208" s="20" t="str">
        <x:v>0</x:v>
      </x:c>
      <x:c r="J208" s="20" t="str">
        <x:v>0</x:v>
      </x:c>
      <x:c r="K208" s="20" t="str">
        <x:v>0</x:v>
      </x:c>
      <x:c r="L208" s="20" t="str">
        <x:v>0</x:v>
      </x:c>
      <x:c r="M208" s="20" t="str">
        <x:v>0</x:v>
      </x:c>
      <x:c r="N208" s="20" t="str">
        <x:v>0</x:v>
      </x:c>
      <x:c r="O208" s="20" t="str">
        <x:v>0</x:v>
      </x:c>
      <x:c r="P208" s="20" t="str">
        <x:v>0</x:v>
      </x:c>
      <x:c r="Q208" s="20" t="str">
        <x:v>0</x:v>
      </x:c>
      <x:c r="R208" s="20" t="str">
        <x:v>0</x:v>
      </x:c>
      <x:c r="S208" s="20" t="str">
        <x:v>0</x:v>
      </x:c>
      <x:c r="T208" s="20" t="str">
        <x:v>0</x:v>
      </x:c>
      <x:c r="U208" s="20" t="str">
        <x:v>0</x:v>
      </x:c>
      <x:c r="V208" s="20" t="str">
        <x:v>0</x:v>
      </x:c>
      <x:c r="W208" s="20" t="str">
        <x:v>0</x:v>
      </x:c>
      <x:c r="X208" s="20" t="str">
        <x:v>0</x:v>
      </x:c>
      <x:c r="Y208" s="20" t="str">
        <x:v>0</x:v>
      </x:c>
      <x:c r="Z208" s="20" t="str">
        <x:v>1</x:v>
      </x:c>
      <x:c r="AA208" s="20" t="str">
        <x:v>0</x:v>
      </x:c>
      <x:c r="AB208" s="20" t="str">
        <x:v>0</x:v>
      </x:c>
      <x:c r="AC208" s="20" t="str">
        <x:v>0</x:v>
      </x:c>
      <x:c r="AD208" s="20" t="str">
        <x:v>0</x:v>
      </x:c>
      <x:c r="AE208" s="20" t="str">
        <x:v>0</x:v>
      </x:c>
    </x:row>
    <x:row r="209">
      <x:c r="A209" s="20" t="str">
        <x:v>nallapati2016_abstractive_text_summarization</x:v>
      </x:c>
      <x:c r="B209" s="20" t="str">
        <x:v>2016</x:v>
      </x:c>
      <x:c r="C209" s="20" t="str">
        <x:v>Abstractive Text Summarization Using Sequence-to-Sequence RNNs and Beyond</x:v>
      </x:c>
      <x:c r="D209" s="20" t="str">
        <x:v>12_Clinical_Summarization_Health_Literacy</x:v>
      </x:c>
      <x:c r="E209" s="20" t="str">
        <x:v>0</x:v>
      </x:c>
      <x:c r="F209" s="20" t="str">
        <x:v>0</x:v>
      </x:c>
      <x:c r="G209" s="20" t="str">
        <x:v>0</x:v>
      </x:c>
      <x:c r="H209" s="20" t="str">
        <x:v>0</x:v>
      </x:c>
      <x:c r="I209" s="20" t="str">
        <x:v>0</x:v>
      </x:c>
      <x:c r="J209" s="20" t="str">
        <x:v>0</x:v>
      </x:c>
      <x:c r="K209" s="20" t="str">
        <x:v>0</x:v>
      </x:c>
      <x:c r="L209" s="20" t="str">
        <x:v>0</x:v>
      </x:c>
      <x:c r="M209" s="20" t="str">
        <x:v>0</x:v>
      </x:c>
      <x:c r="N209" s="20" t="str">
        <x:v>0</x:v>
      </x:c>
      <x:c r="O209" s="20" t="str">
        <x:v>0</x:v>
      </x:c>
      <x:c r="P209" s="20" t="str">
        <x:v>0</x:v>
      </x:c>
      <x:c r="Q209" s="20" t="str">
        <x:v>0</x:v>
      </x:c>
      <x:c r="R209" s="20" t="str">
        <x:v>0</x:v>
      </x:c>
      <x:c r="S209" s="20" t="str">
        <x:v>0</x:v>
      </x:c>
      <x:c r="T209" s="20" t="str">
        <x:v>0</x:v>
      </x:c>
      <x:c r="U209" s="20" t="str">
        <x:v>0</x:v>
      </x:c>
      <x:c r="V209" s="20" t="str">
        <x:v>0</x:v>
      </x:c>
      <x:c r="W209" s="20" t="str">
        <x:v>1</x:v>
      </x:c>
      <x:c r="X209" s="20" t="str">
        <x:v>0</x:v>
      </x:c>
      <x:c r="Y209" s="20" t="str">
        <x:v>0</x:v>
      </x:c>
      <x:c r="Z209" s="20" t="str">
        <x:v>0</x:v>
      </x:c>
      <x:c r="AA209" s="20" t="str">
        <x:v>0</x:v>
      </x:c>
      <x:c r="AB209" s="20" t="str">
        <x:v>0</x:v>
      </x:c>
      <x:c r="AC209" s="20" t="str">
        <x:v>0</x:v>
      </x:c>
      <x:c r="AD209" s="20" t="str">
        <x:v>0</x:v>
      </x:c>
      <x:c r="AE209" s="20" t="str">
        <x:v>0</x:v>
      </x:c>
    </x:row>
    <x:row r="210">
      <x:c r="A210" s="20" t="str">
        <x:v>see2017_get_point_summarization</x:v>
      </x:c>
      <x:c r="B210" s="20" t="str">
        <x:v>2017</x:v>
      </x:c>
      <x:c r="C210" s="20" t="str">
        <x:v>Get To The Point: Summarization with Pointer-Generator Networks</x:v>
      </x:c>
      <x:c r="D210" s="20" t="str">
        <x:v>12_Clinical_Summarization_Health_Literacy</x:v>
      </x:c>
      <x:c r="E210" s="20" t="str">
        <x:v>0</x:v>
      </x:c>
      <x:c r="F210" s="20" t="str">
        <x:v>0</x:v>
      </x:c>
      <x:c r="G210" s="20" t="str">
        <x:v>0</x:v>
      </x:c>
      <x:c r="H210" s="20" t="str">
        <x:v>0</x:v>
      </x:c>
      <x:c r="I210" s="20" t="str">
        <x:v>0</x:v>
      </x:c>
      <x:c r="J210" s="20" t="str">
        <x:v>0</x:v>
      </x:c>
      <x:c r="K210" s="20" t="str">
        <x:v>0</x:v>
      </x:c>
      <x:c r="L210" s="20" t="str">
        <x:v>0</x:v>
      </x:c>
      <x:c r="M210" s="20" t="str">
        <x:v>0</x:v>
      </x:c>
      <x:c r="N210" s="20" t="str">
        <x:v>1</x:v>
      </x:c>
      <x:c r="O210" s="20" t="str">
        <x:v>0</x:v>
      </x:c>
      <x:c r="P210" s="20" t="str">
        <x:v>0</x:v>
      </x:c>
      <x:c r="Q210" s="20" t="str">
        <x:v>0</x:v>
      </x:c>
      <x:c r="R210" s="20" t="str">
        <x:v>0</x:v>
      </x:c>
      <x:c r="S210" s="20" t="str">
        <x:v>0</x:v>
      </x:c>
      <x:c r="T210" s="20" t="str">
        <x:v>0</x:v>
      </x:c>
      <x:c r="U210" s="20" t="str">
        <x:v>0</x:v>
      </x:c>
      <x:c r="V210" s="20" t="str">
        <x:v>0</x:v>
      </x:c>
      <x:c r="W210" s="20" t="str">
        <x:v>0</x:v>
      </x:c>
      <x:c r="X210" s="20" t="str">
        <x:v>0</x:v>
      </x:c>
      <x:c r="Y210" s="20" t="str">
        <x:v>0</x:v>
      </x:c>
      <x:c r="Z210" s="20" t="str">
        <x:v>0</x:v>
      </x:c>
      <x:c r="AA210" s="20" t="str">
        <x:v>0</x:v>
      </x:c>
      <x:c r="AB210" s="20" t="str">
        <x:v>0</x:v>
      </x:c>
      <x:c r="AC210" s="20" t="str">
        <x:v>0</x:v>
      </x:c>
      <x:c r="AD210" s="20" t="str">
        <x:v>0</x:v>
      </x:c>
      <x:c r="AE210" s="20" t="str">
        <x:v>0</x:v>
      </x:c>
    </x:row>
    <x:row r="211">
      <x:c r="A211" s="20" t="str">
        <x:v>narayan2018_don_t_give</x:v>
      </x:c>
      <x:c r="B211" s="20" t="str">
        <x:v>2018</x:v>
      </x:c>
      <x:c r="C211" s="20" t="str">
        <x:v>Don't Give Me the Details, Just the Summary! Topic-Aware Convolutional Neural Networks for Extreme Summarization</x:v>
      </x:c>
      <x:c r="D211" s="20" t="str">
        <x:v>12_Clinical_Summarization_Health_Literacy</x:v>
      </x:c>
      <x:c r="E211" s="20" t="str">
        <x:v>0</x:v>
      </x:c>
      <x:c r="F211" s="20" t="str">
        <x:v>0</x:v>
      </x:c>
      <x:c r="G211" s="20" t="str">
        <x:v>0</x:v>
      </x:c>
      <x:c r="H211" s="20" t="str">
        <x:v>0</x:v>
      </x:c>
      <x:c r="I211" s="20" t="str">
        <x:v>0</x:v>
      </x:c>
      <x:c r="J211" s="20" t="str">
        <x:v>0</x:v>
      </x:c>
      <x:c r="K211" s="20" t="str">
        <x:v>0</x:v>
      </x:c>
      <x:c r="L211" s="20" t="str">
        <x:v>0</x:v>
      </x:c>
      <x:c r="M211" s="20" t="str">
        <x:v>0</x:v>
      </x:c>
      <x:c r="N211" s="20" t="str">
        <x:v>0</x:v>
      </x:c>
      <x:c r="O211" s="20" t="str">
        <x:v>0</x:v>
      </x:c>
      <x:c r="P211" s="20" t="str">
        <x:v>0</x:v>
      </x:c>
      <x:c r="Q211" s="20" t="str">
        <x:v>0</x:v>
      </x:c>
      <x:c r="R211" s="20" t="str">
        <x:v>0</x:v>
      </x:c>
      <x:c r="S211" s="20" t="str">
        <x:v>0</x:v>
      </x:c>
      <x:c r="T211" s="20" t="str">
        <x:v>0</x:v>
      </x:c>
      <x:c r="U211" s="20" t="str">
        <x:v>0</x:v>
      </x:c>
      <x:c r="V211" s="20" t="str">
        <x:v>0</x:v>
      </x:c>
      <x:c r="W211" s="20" t="str">
        <x:v>1</x:v>
      </x:c>
      <x:c r="X211" s="20" t="str">
        <x:v>0</x:v>
      </x:c>
      <x:c r="Y211" s="20" t="str">
        <x:v>0</x:v>
      </x:c>
      <x:c r="Z211" s="20" t="str">
        <x:v>0</x:v>
      </x:c>
      <x:c r="AA211" s="20" t="str">
        <x:v>0</x:v>
      </x:c>
      <x:c r="AB211" s="20" t="str">
        <x:v>0</x:v>
      </x:c>
      <x:c r="AC211" s="20" t="str">
        <x:v>0</x:v>
      </x:c>
      <x:c r="AD211" s="20" t="str">
        <x:v>0</x:v>
      </x:c>
      <x:c r="AE211" s="20" t="str">
        <x:v>0</x:v>
      </x:c>
    </x:row>
    <x:row r="212">
      <x:c r="A212" s="20" t="str">
        <x:v>grusky2018_newsroom_1_3</x:v>
      </x:c>
      <x:c r="B212" s="20" t="str">
        <x:v>2018</x:v>
      </x:c>
      <x:c r="C212" s="20" t="str">
        <x:v>Newsroom: A Dataset of 1.3 Million Summaries with Diverse Extractive Strategies</x:v>
      </x:c>
      <x:c r="D212" s="20" t="str">
        <x:v>12_Clinical_Summarization_Health_Literacy</x:v>
      </x:c>
      <x:c r="E212" s="20" t="str">
        <x:v>0</x:v>
      </x:c>
      <x:c r="F212" s="20" t="str">
        <x:v>0</x:v>
      </x:c>
      <x:c r="G212" s="20" t="str">
        <x:v>0</x:v>
      </x:c>
      <x:c r="H212" s="20" t="str">
        <x:v>0</x:v>
      </x:c>
      <x:c r="I212" s="20" t="str">
        <x:v>0</x:v>
      </x:c>
      <x:c r="J212" s="20" t="str">
        <x:v>0</x:v>
      </x:c>
      <x:c r="K212" s="20" t="str">
        <x:v>0</x:v>
      </x:c>
      <x:c r="L212" s="20" t="str">
        <x:v>0</x:v>
      </x:c>
      <x:c r="M212" s="20" t="str">
        <x:v>0</x:v>
      </x:c>
      <x:c r="N212" s="20" t="str">
        <x:v>0</x:v>
      </x:c>
      <x:c r="O212" s="20" t="str">
        <x:v>0</x:v>
      </x:c>
      <x:c r="P212" s="20" t="str">
        <x:v>0</x:v>
      </x:c>
      <x:c r="Q212" s="20" t="str">
        <x:v>0</x:v>
      </x:c>
      <x:c r="R212" s="20" t="str">
        <x:v>0</x:v>
      </x:c>
      <x:c r="S212" s="20" t="str">
        <x:v>0</x:v>
      </x:c>
      <x:c r="T212" s="20" t="str">
        <x:v>0</x:v>
      </x:c>
      <x:c r="U212" s="20" t="str">
        <x:v>0</x:v>
      </x:c>
      <x:c r="V212" s="20" t="str">
        <x:v>0</x:v>
      </x:c>
      <x:c r="W212" s="20" t="str">
        <x:v>1</x:v>
      </x:c>
      <x:c r="X212" s="20" t="str">
        <x:v>0</x:v>
      </x:c>
      <x:c r="Y212" s="20" t="str">
        <x:v>0</x:v>
      </x:c>
      <x:c r="Z212" s="20" t="str">
        <x:v>0</x:v>
      </x:c>
      <x:c r="AA212" s="20" t="str">
        <x:v>0</x:v>
      </x:c>
      <x:c r="AB212" s="20" t="str">
        <x:v>0</x:v>
      </x:c>
      <x:c r="AC212" s="20" t="str">
        <x:v>0</x:v>
      </x:c>
      <x:c r="AD212" s="20" t="str">
        <x:v>0</x:v>
      </x:c>
      <x:c r="AE212" s="20" t="str">
        <x:v>0</x:v>
      </x:c>
    </x:row>
    <x:row r="213">
      <x:c r="A213" s="20" t="str">
        <x:v>zhang2020_pegasus_pre_training</x:v>
      </x:c>
      <x:c r="B213" s="20" t="str">
        <x:v>2020</x:v>
      </x:c>
      <x:c r="C213" s="20" t="str">
        <x:v>PEGASUS: Pre-training with Extracted Gap-sentences for Abstractive Summarization</x:v>
      </x:c>
      <x:c r="D213" s="20" t="str">
        <x:v>12_Clinical_Summarization_Health_Literacy</x:v>
      </x:c>
      <x:c r="E213" s="20" t="str">
        <x:v>0</x:v>
      </x:c>
      <x:c r="F213" s="20" t="str">
        <x:v>0</x:v>
      </x:c>
      <x:c r="G213" s="20" t="str">
        <x:v>0</x:v>
      </x:c>
      <x:c r="H213" s="20" t="str">
        <x:v>0</x:v>
      </x:c>
      <x:c r="I213" s="20" t="str">
        <x:v>0</x:v>
      </x:c>
      <x:c r="J213" s="20" t="str">
        <x:v>0</x:v>
      </x:c>
      <x:c r="K213" s="20" t="str">
        <x:v>0</x:v>
      </x:c>
      <x:c r="L213" s="20" t="str">
        <x:v>0</x:v>
      </x:c>
      <x:c r="M213" s="20" t="str">
        <x:v>0</x:v>
      </x:c>
      <x:c r="N213" s="20" t="str">
        <x:v>0</x:v>
      </x:c>
      <x:c r="O213" s="20" t="str">
        <x:v>0</x:v>
      </x:c>
      <x:c r="P213" s="20" t="str">
        <x:v>0</x:v>
      </x:c>
      <x:c r="Q213" s="20" t="str">
        <x:v>0</x:v>
      </x:c>
      <x:c r="R213" s="20" t="str">
        <x:v>0</x:v>
      </x:c>
      <x:c r="S213" s="20" t="str">
        <x:v>0</x:v>
      </x:c>
      <x:c r="T213" s="20" t="str">
        <x:v>0</x:v>
      </x:c>
      <x:c r="U213" s="20" t="str">
        <x:v>0</x:v>
      </x:c>
      <x:c r="V213" s="20" t="str">
        <x:v>0</x:v>
      </x:c>
      <x:c r="W213" s="20" t="str">
        <x:v>1</x:v>
      </x:c>
      <x:c r="X213" s="20" t="str">
        <x:v>0</x:v>
      </x:c>
      <x:c r="Y213" s="20" t="str">
        <x:v>0</x:v>
      </x:c>
      <x:c r="Z213" s="20" t="str">
        <x:v>0</x:v>
      </x:c>
      <x:c r="AA213" s="20" t="str">
        <x:v>0</x:v>
      </x:c>
      <x:c r="AB213" s="20" t="str">
        <x:v>0</x:v>
      </x:c>
      <x:c r="AC213" s="20" t="str">
        <x:v>0</x:v>
      </x:c>
      <x:c r="AD213" s="20" t="str">
        <x:v>0</x:v>
      </x:c>
      <x:c r="AE213" s="20" t="str">
        <x:v>0</x:v>
      </x:c>
    </x:row>
    <x:row r="214">
      <x:c r="A214" s="20" t="str">
        <x:v>gidiotis2020_divide_conquer_summarization</x:v>
      </x:c>
      <x:c r="B214" s="20" t="str">
        <x:v>2020</x:v>
      </x:c>
      <x:c r="C214" s="20" t="str">
        <x:v>A Divide-and-Conquer Approach to the Summarization of Long Documents</x:v>
      </x:c>
      <x:c r="D214" s="20" t="str">
        <x:v>12_Clinical_Summarization_Health_Literacy</x:v>
      </x:c>
      <x:c r="E214" s="20" t="str">
        <x:v>0</x:v>
      </x:c>
      <x:c r="F214" s="20" t="str">
        <x:v>0</x:v>
      </x:c>
      <x:c r="G214" s="20" t="str">
        <x:v>0</x:v>
      </x:c>
      <x:c r="H214" s="20" t="str">
        <x:v>0</x:v>
      </x:c>
      <x:c r="I214" s="20" t="str">
        <x:v>0</x:v>
      </x:c>
      <x:c r="J214" s="20" t="str">
        <x:v>0</x:v>
      </x:c>
      <x:c r="K214" s="20" t="str">
        <x:v>0</x:v>
      </x:c>
      <x:c r="L214" s="20" t="str">
        <x:v>0</x:v>
      </x:c>
      <x:c r="M214" s="20" t="str">
        <x:v>0</x:v>
      </x:c>
      <x:c r="N214" s="20" t="str">
        <x:v>0</x:v>
      </x:c>
      <x:c r="O214" s="20" t="str">
        <x:v>0</x:v>
      </x:c>
      <x:c r="P214" s="20" t="str">
        <x:v>0</x:v>
      </x:c>
      <x:c r="Q214" s="20" t="str">
        <x:v>0</x:v>
      </x:c>
      <x:c r="R214" s="20" t="str">
        <x:v>0</x:v>
      </x:c>
      <x:c r="S214" s="20" t="str">
        <x:v>0</x:v>
      </x:c>
      <x:c r="T214" s="20" t="str">
        <x:v>0</x:v>
      </x:c>
      <x:c r="U214" s="20" t="str">
        <x:v>0</x:v>
      </x:c>
      <x:c r="V214" s="20" t="str">
        <x:v>0</x:v>
      </x:c>
      <x:c r="W214" s="20" t="str">
        <x:v>1</x:v>
      </x:c>
      <x:c r="X214" s="20" t="str">
        <x:v>0</x:v>
      </x:c>
      <x:c r="Y214" s="20" t="str">
        <x:v>0</x:v>
      </x:c>
      <x:c r="Z214" s="20" t="str">
        <x:v>0</x:v>
      </x:c>
      <x:c r="AA214" s="20" t="str">
        <x:v>0</x:v>
      </x:c>
      <x:c r="AB214" s="20" t="str">
        <x:v>0</x:v>
      </x:c>
      <x:c r="AC214" s="20" t="str">
        <x:v>0</x:v>
      </x:c>
      <x:c r="AD214" s="20" t="str">
        <x:v>0</x:v>
      </x:c>
      <x:c r="AE214" s="20" t="str">
        <x:v>0</x:v>
      </x:c>
    </x:row>
    <x:row r="215">
      <x:c r="A215" s="20" t="str">
        <x:v>cohan2018_discourse_aware_attention</x:v>
      </x:c>
      <x:c r="B215" s="20" t="str">
        <x:v>2018</x:v>
      </x:c>
      <x:c r="C215" s="20" t="str">
        <x:v>A Discourse-Aware Attention Model for Abstractive Summarization of Long Documents</x:v>
      </x:c>
      <x:c r="D215" s="20" t="str">
        <x:v>12_Clinical_Summarization_Health_Literacy</x:v>
      </x:c>
      <x:c r="E215" s="20" t="str">
        <x:v>0</x:v>
      </x:c>
      <x:c r="F215" s="20" t="str">
        <x:v>0</x:v>
      </x:c>
      <x:c r="G215" s="20" t="str">
        <x:v>0</x:v>
      </x:c>
      <x:c r="H215" s="20" t="str">
        <x:v>0</x:v>
      </x:c>
      <x:c r="I215" s="20" t="str">
        <x:v>0</x:v>
      </x:c>
      <x:c r="J215" s="20" t="str">
        <x:v>0</x:v>
      </x:c>
      <x:c r="K215" s="20" t="str">
        <x:v>0</x:v>
      </x:c>
      <x:c r="L215" s="20" t="str">
        <x:v>0</x:v>
      </x:c>
      <x:c r="M215" s="20" t="str">
        <x:v>0</x:v>
      </x:c>
      <x:c r="N215" s="20" t="str">
        <x:v>0</x:v>
      </x:c>
      <x:c r="O215" s="20" t="str">
        <x:v>0</x:v>
      </x:c>
      <x:c r="P215" s="20" t="str">
        <x:v>0</x:v>
      </x:c>
      <x:c r="Q215" s="20" t="str">
        <x:v>0</x:v>
      </x:c>
      <x:c r="R215" s="20" t="str">
        <x:v>0</x:v>
      </x:c>
      <x:c r="S215" s="20" t="str">
        <x:v>0</x:v>
      </x:c>
      <x:c r="T215" s="20" t="str">
        <x:v>0</x:v>
      </x:c>
      <x:c r="U215" s="20" t="str">
        <x:v>0</x:v>
      </x:c>
      <x:c r="V215" s="20" t="str">
        <x:v>0</x:v>
      </x:c>
      <x:c r="W215" s="20" t="str">
        <x:v>1</x:v>
      </x:c>
      <x:c r="X215" s="20" t="str">
        <x:v>0</x:v>
      </x:c>
      <x:c r="Y215" s="20" t="str">
        <x:v>0</x:v>
      </x:c>
      <x:c r="Z215" s="20" t="str">
        <x:v>0</x:v>
      </x:c>
      <x:c r="AA215" s="20" t="str">
        <x:v>0</x:v>
      </x:c>
      <x:c r="AB215" s="20" t="str">
        <x:v>0</x:v>
      </x:c>
      <x:c r="AC215" s="20" t="str">
        <x:v>0</x:v>
      </x:c>
      <x:c r="AD215" s="20" t="str">
        <x:v>0</x:v>
      </x:c>
      <x:c r="AE215" s="20" t="str">
        <x:v>0</x:v>
      </x:c>
    </x:row>
    <x:row r="216">
      <x:c r="A216" s="20" t="str">
        <x:v>sotudeh2019_generating_extended_summaries</x:v>
      </x:c>
      <x:c r="B216" s="20" t="str">
        <x:v>2019</x:v>
      </x:c>
      <x:c r="C216" s="20" t="str">
        <x:v>On Generating Extended Summaries of Long Documents</x:v>
      </x:c>
      <x:c r="D216" s="20" t="str">
        <x:v>12_Clinical_Summarization_Health_Literacy</x:v>
      </x:c>
      <x:c r="E216" s="20" t="str">
        <x:v>0</x:v>
      </x:c>
      <x:c r="F216" s="20" t="str">
        <x:v>0</x:v>
      </x:c>
      <x:c r="G216" s="20" t="str">
        <x:v>0</x:v>
      </x:c>
      <x:c r="H216" s="20" t="str">
        <x:v>0</x:v>
      </x:c>
      <x:c r="I216" s="20" t="str">
        <x:v>0</x:v>
      </x:c>
      <x:c r="J216" s="20" t="str">
        <x:v>0</x:v>
      </x:c>
      <x:c r="K216" s="20" t="str">
        <x:v>0</x:v>
      </x:c>
      <x:c r="L216" s="20" t="str">
        <x:v>0</x:v>
      </x:c>
      <x:c r="M216" s="20" t="str">
        <x:v>0</x:v>
      </x:c>
      <x:c r="N216" s="20" t="str">
        <x:v>0</x:v>
      </x:c>
      <x:c r="O216" s="20" t="str">
        <x:v>0</x:v>
      </x:c>
      <x:c r="P216" s="20" t="str">
        <x:v>0</x:v>
      </x:c>
      <x:c r="Q216" s="20" t="str">
        <x:v>0</x:v>
      </x:c>
      <x:c r="R216" s="20" t="str">
        <x:v>0</x:v>
      </x:c>
      <x:c r="S216" s="20" t="str">
        <x:v>0</x:v>
      </x:c>
      <x:c r="T216" s="20" t="str">
        <x:v>0</x:v>
      </x:c>
      <x:c r="U216" s="20" t="str">
        <x:v>0</x:v>
      </x:c>
      <x:c r="V216" s="20" t="str">
        <x:v>0</x:v>
      </x:c>
      <x:c r="W216" s="20" t="str">
        <x:v>1</x:v>
      </x:c>
      <x:c r="X216" s="20" t="str">
        <x:v>0</x:v>
      </x:c>
      <x:c r="Y216" s="20" t="str">
        <x:v>0</x:v>
      </x:c>
      <x:c r="Z216" s="20" t="str">
        <x:v>0</x:v>
      </x:c>
      <x:c r="AA216" s="20" t="str">
        <x:v>0</x:v>
      </x:c>
      <x:c r="AB216" s="20" t="str">
        <x:v>0</x:v>
      </x:c>
      <x:c r="AC216" s="20" t="str">
        <x:v>0</x:v>
      </x:c>
      <x:c r="AD216" s="20" t="str">
        <x:v>0</x:v>
      </x:c>
      <x:c r="AE216" s="20" t="str">
        <x:v>0</x:v>
      </x:c>
    </x:row>
  </x:sheetData>
  <x:pageMargins left="0.7" right="0.7" top="0.75" bottom="0.75" header="0.3" footer="0.3"/>
  <x:tableParts count="1">
    <x:tablePart xmlns:r="http://schemas.openxmlformats.org/officeDocument/2006/relationships" r:id="R7a6bd23247004eb6"/>
  </x:tableParts>
</x:worksheet>
</file>

<file path=xl/worksheets/sheet5.xml><?xml version="1.0" encoding="utf-8"?>
<x:worksheet xmlns:x="http://schemas.openxmlformats.org/spreadsheetml/2006/main">
  <x:sheetFormatPr defaultRowHeight="15"/>
  <x:cols>
    <x:col min="1" max="1" width="22" hidden="0" customWidth="1"/>
    <x:col min="2" max="2" width="16" hidden="0" customWidth="1"/>
    <x:col min="3" max="3" width="36" hidden="0" customWidth="1"/>
    <x:col min="4" max="4" width="16" hidden="0" customWidth="1"/>
    <x:col min="5" max="5" width="16" hidden="0" customWidth="1"/>
    <x:col min="6" max="6" width="16" hidden="0" customWidth="1"/>
    <x:col min="7" max="7" width="16" hidden="0" customWidth="1"/>
    <x:col min="8" max="8" width="16" hidden="0" customWidth="1"/>
  </x:cols>
  <x:sheetData>
    <x:row r="1">
      <x:c r="A1" s="24" t="str">
        <x:v>citekey</x:v>
      </x:c>
      <x:c r="B1" s="24" t="str">
        <x:v>year</x:v>
      </x:c>
      <x:c r="C1" s="24" t="str">
        <x:v>title</x:v>
      </x:c>
      <x:c r="D1" s="24" t="str">
        <x:v>category</x:v>
      </x:c>
      <x:c r="E1" s="24" t="str">
        <x:v>direct</x:v>
      </x:c>
      <x:c r="F1" s="24" t="str">
        <x:v>transferable</x:v>
      </x:c>
      <x:c r="G1" s="24" t="str">
        <x:v>not_direct</x:v>
      </x:c>
      <x:c r="H1" s="24" t="str">
        <x:v>not_applicable</x:v>
      </x:c>
    </x:row>
    <x:row r="2">
      <x:c r="A2" s="20" t="str">
        <x:v>basu2023_med_easi_finely</x:v>
      </x:c>
      <x:c r="B2" s="20" t="str">
        <x:v>2023</x:v>
      </x:c>
      <x:c r="C2" s="20" t="str">
        <x:v>Med-EASi: Finely Annotated Dataset and Models for Controllable Simplification of Medical Texts</x:v>
      </x:c>
      <x:c r="D2" s="20" t="str">
        <x:v>01_Core_Clinical_TS</x:v>
      </x:c>
      <x:c r="E2" s="20" t="str">
        <x:v>0</x:v>
      </x:c>
      <x:c r="F2" s="20" t="str">
        <x:v>0</x:v>
      </x:c>
      <x:c r="G2" s="20" t="str">
        <x:v>0</x:v>
      </x:c>
      <x:c r="H2" s="20" t="str">
        <x:v>1</x:v>
      </x:c>
    </x:row>
    <x:row r="3">
      <x:c r="A3" s="20" t="str">
        <x:v>horiguchi2025_multimsd_multilingual_medical</x:v>
      </x:c>
      <x:c r="B3" s="20" t="str">
        <x:v>2025</x:v>
      </x:c>
      <x:c r="C3" s="20" t="str">
        <x:v>MultiMSD: A Corpus for Multilingual Medical Text Simplification from Online Medical References</x:v>
      </x:c>
      <x:c r="D3" s="20" t="str">
        <x:v>01_Core_Clinical_TS</x:v>
      </x:c>
      <x:c r="E3" s="20" t="str">
        <x:v>0</x:v>
      </x:c>
      <x:c r="F3" s="20" t="str">
        <x:v>1</x:v>
      </x:c>
      <x:c r="G3" s="20" t="str">
        <x:v>0</x:v>
      </x:c>
      <x:c r="H3" s="20" t="str">
        <x:v>0</x:v>
      </x:c>
    </x:row>
    <x:row r="4">
      <x:c r="A4" s="20" t="str">
        <x:v>joseph2023_multilingual_simplification_medical</x:v>
      </x:c>
      <x:c r="B4" s="20" t="str">
        <x:v>2023</x:v>
      </x:c>
      <x:c r="C4" s="20" t="str">
        <x:v>Multilingual Simplification of Medical Texts</x:v>
      </x:c>
      <x:c r="D4" s="20" t="str">
        <x:v>01_Core_Clinical_TS</x:v>
      </x:c>
      <x:c r="E4" s="20" t="str">
        <x:v>0</x:v>
      </x:c>
      <x:c r="F4" s="20" t="str">
        <x:v>1</x:v>
      </x:c>
      <x:c r="G4" s="20" t="str">
        <x:v>0</x:v>
      </x:c>
      <x:c r="H4" s="20" t="str">
        <x:v>0</x:v>
      </x:c>
    </x:row>
    <x:row r="5">
      <x:c r="A5" s="20" t="str">
        <x:v>bakker2024_cochrane_auto_aligned</x:v>
      </x:c>
      <x:c r="B5" s="20" t="str">
        <x:v>2024</x:v>
      </x:c>
      <x:c r="C5" s="20" t="str">
        <x:v>Cochrane-auto: An Aligned Dataset for the Simplification of Biomedical Abstracts</x:v>
      </x:c>
      <x:c r="D5" s="20" t="str">
        <x:v>01_Core_Clinical_TS</x:v>
      </x:c>
      <x:c r="E5" s="20" t="str">
        <x:v>0</x:v>
      </x:c>
      <x:c r="F5" s="20" t="str">
        <x:v>0</x:v>
      </x:c>
      <x:c r="G5" s="20" t="str">
        <x:v>0</x:v>
      </x:c>
      <x:c r="H5" s="20" t="str">
        <x:v>1</x:v>
      </x:c>
    </x:row>
    <x:row r="6">
      <x:c r="A6" s="20" t="str">
        <x:v>yao2024_readme_bridging_medical</x:v>
      </x:c>
      <x:c r="B6" s="20" t="str">
        <x:v>2024</x:v>
      </x:c>
      <x:c r="C6" s="20" t="str">
        <x:v>README: Bridging Medical Jargon and Lay Understanding for Patient Education through Data-Centric NLP</x:v>
      </x:c>
      <x:c r="D6" s="20" t="str">
        <x:v>01_Core_Clinical_TS</x:v>
      </x:c>
      <x:c r="E6" s="20" t="str">
        <x:v>0</x:v>
      </x:c>
      <x:c r="F6" s="20" t="str">
        <x:v>0</x:v>
      </x:c>
      <x:c r="G6" s="20" t="str">
        <x:v>0</x:v>
      </x:c>
      <x:c r="H6" s="20" t="str">
        <x:v>1</x:v>
      </x:c>
    </x:row>
    <x:row r="7">
      <x:c r="A7" s="20" t="str">
        <x:v>devaraj2021_paragraph_level_simplification</x:v>
      </x:c>
      <x:c r="B7" s="20" t="str">
        <x:v>2021</x:v>
      </x:c>
      <x:c r="C7" s="20" t="str">
        <x:v>Paragraph-level Simplification of Medical Texts</x:v>
      </x:c>
      <x:c r="D7" s="20" t="str">
        <x:v>01_Core_Clinical_TS</x:v>
      </x:c>
      <x:c r="E7" s="20" t="str">
        <x:v>0</x:v>
      </x:c>
      <x:c r="F7" s="20" t="str">
        <x:v>0</x:v>
      </x:c>
      <x:c r="G7" s="20" t="str">
        <x:v>0</x:v>
      </x:c>
      <x:c r="H7" s="20" t="str">
        <x:v>1</x:v>
      </x:c>
    </x:row>
    <x:row r="8">
      <x:c r="A8" s="20" t="str">
        <x:v>devaraj2022_evaluating_factuality_text</x:v>
      </x:c>
      <x:c r="B8" s="20" t="str">
        <x:v>2022</x:v>
      </x:c>
      <x:c r="C8" s="20" t="str">
        <x:v>Evaluating Factuality in Text Simplification</x:v>
      </x:c>
      <x:c r="D8" s="20" t="str">
        <x:v>01_Core_Clinical_TS</x:v>
      </x:c>
      <x:c r="E8" s="20" t="str">
        <x:v>0</x:v>
      </x:c>
      <x:c r="F8" s="20" t="str">
        <x:v>0</x:v>
      </x:c>
      <x:c r="G8" s="20" t="str">
        <x:v>0</x:v>
      </x:c>
      <x:c r="H8" s="20" t="str">
        <x:v>1</x:v>
      </x:c>
    </x:row>
    <x:row r="9">
      <x:c r="A9" s="20" t="str">
        <x:v>flores2023_medical_text_simplification</x:v>
      </x:c>
      <x:c r="B9" s="20" t="str">
        <x:v>2023</x:v>
      </x:c>
      <x:c r="C9" s="20" t="str">
        <x:v>Medical Text Simplification: Optimizing for Readability with Unlikelihood Training and Reranked Beam Search Decoding</x:v>
      </x:c>
      <x:c r="D9" s="20" t="str">
        <x:v>01_Core_Clinical_TS</x:v>
      </x:c>
      <x:c r="E9" s="20" t="str">
        <x:v>0</x:v>
      </x:c>
      <x:c r="F9" s="20" t="str">
        <x:v>0</x:v>
      </x:c>
      <x:c r="G9" s="20" t="str">
        <x:v>0</x:v>
      </x:c>
      <x:c r="H9" s="20" t="str">
        <x:v>1</x:v>
      </x:c>
    </x:row>
    <x:row r="10">
      <x:c r="A10" s="20" t="str">
        <x:v>phatak2022_medical_text_simplification</x:v>
      </x:c>
      <x:c r="B10" s="20" t="str">
        <x:v>2022</x:v>
      </x:c>
      <x:c r="C10" s="20" t="str">
        <x:v>Medical Text Simplification Using Reinforcement Learning (TESLEA): Deep Learning-Based Text Simplification Approach</x:v>
      </x:c>
      <x:c r="D10" s="20" t="str">
        <x:v>01_Core_Clinical_TS</x:v>
      </x:c>
      <x:c r="E10" s="20" t="str">
        <x:v>0</x:v>
      </x:c>
      <x:c r="F10" s="20" t="str">
        <x:v>0</x:v>
      </x:c>
      <x:c r="G10" s="20" t="str">
        <x:v>0</x:v>
      </x:c>
      <x:c r="H10" s="20" t="str">
        <x:v>1</x:v>
      </x:c>
    </x:row>
    <x:row r="11">
      <x:c r="A11" s="20" t="str">
        <x:v>moramarco2022_more_patient_friendly</x:v>
      </x:c>
      <x:c r="B11" s="20" t="str">
        <x:v>2022</x:v>
      </x:c>
      <x:c r="C11" s="20" t="str">
        <x:v>Towards More Patient Friendly Clinical Notes through Language Models and Ontologies</x:v>
      </x:c>
      <x:c r="D11" s="20" t="str">
        <x:v>01_Core_Clinical_TS</x:v>
      </x:c>
      <x:c r="E11" s="20" t="str">
        <x:v>0</x:v>
      </x:c>
      <x:c r="F11" s="20" t="str">
        <x:v>0</x:v>
      </x:c>
      <x:c r="G11" s="20" t="str">
        <x:v>0</x:v>
      </x:c>
      <x:c r="H11" s="20" t="str">
        <x:v>1</x:v>
      </x:c>
    </x:row>
    <x:row r="12">
      <x:c r="A12" s="20" t="str">
        <x:v>trienes2022_patient_friendly_clinical</x:v>
      </x:c>
      <x:c r="B12" s="20" t="str">
        <x:v>2022</x:v>
      </x:c>
      <x:c r="C12" s="20" t="str">
        <x:v>Patient-Friendly Clinical Notes: Towards a New Text Simplification Dataset</x:v>
      </x:c>
      <x:c r="D12" s="20" t="str">
        <x:v>01_Core_Clinical_TS</x:v>
      </x:c>
      <x:c r="E12" s="20" t="str">
        <x:v>0</x:v>
      </x:c>
      <x:c r="F12" s="20" t="str">
        <x:v>1</x:v>
      </x:c>
      <x:c r="G12" s="20" t="str">
        <x:v>0</x:v>
      </x:c>
      <x:c r="H12" s="20" t="str">
        <x:v>0</x:v>
      </x:c>
    </x:row>
    <x:row r="13">
      <x:c r="A13" s="20" t="str">
        <x:v>rahman2024_health_text_simplification</x:v>
      </x:c>
      <x:c r="B13" s="20" t="str">
        <x:v>2024</x:v>
      </x:c>
      <x:c r="C13" s="20" t="str">
        <x:v>Health Text Simplification: An Annotated Corpus for Digestive Cancer Education and Novel Strategies for Reinforcement Learning</x:v>
      </x:c>
      <x:c r="D13" s="20" t="str">
        <x:v>01_Core_Clinical_TS</x:v>
      </x:c>
      <x:c r="E13" s="20" t="str">
        <x:v>0</x:v>
      </x:c>
      <x:c r="F13" s="20" t="str">
        <x:v>0</x:v>
      </x:c>
      <x:c r="G13" s="20" t="str">
        <x:v>0</x:v>
      </x:c>
      <x:c r="H13" s="20" t="str">
        <x:v>1</x:v>
      </x:c>
    </x:row>
    <x:row r="14">
      <x:c r="A14" s="20" t="str">
        <x:v>pavithra2025_bridging_health_literacy</x:v>
      </x:c>
      <x:c r="B14" s="20" t="str">
        <x:v>2025</x:v>
      </x:c>
      <x:c r="C14" s="20" t="str">
        <x:v>Bridging Health Literacy Gaps in Indian Languages: Multilingual LLMs for Clinical Text Simplification</x:v>
      </x:c>
      <x:c r="D14" s="20" t="str">
        <x:v>01_Core_Clinical_TS</x:v>
      </x:c>
      <x:c r="E14" s="20" t="str">
        <x:v>0</x:v>
      </x:c>
      <x:c r="F14" s="20" t="str">
        <x:v>1</x:v>
      </x:c>
      <x:c r="G14" s="20" t="str">
        <x:v>0</x:v>
      </x:c>
      <x:c r="H14" s="20" t="str">
        <x:v>0</x:v>
      </x:c>
    </x:row>
    <x:row r="15">
      <x:c r="A15" s="20" t="str">
        <x:v>tran2025_medreadctrl_personalizing_medical</x:v>
      </x:c>
      <x:c r="B15" s="20" t="str">
        <x:v>2025</x:v>
      </x:c>
      <x:c r="C15" s="20" t="str">
        <x:v>MedReadCtrl: Personalizing Medical Text Generation with Readability-Controlled Instruction Learning</x:v>
      </x:c>
      <x:c r="D15" s="20" t="str">
        <x:v>01_Core_Clinical_TS</x:v>
      </x:c>
      <x:c r="E15" s="20" t="str">
        <x:v>0</x:v>
      </x:c>
      <x:c r="F15" s="20" t="str">
        <x:v>0</x:v>
      </x:c>
      <x:c r="G15" s="20" t="str">
        <x:v>0</x:v>
      </x:c>
      <x:c r="H15" s="20" t="str">
        <x:v>1</x:v>
      </x:c>
    </x:row>
    <x:row r="16">
      <x:c r="A16" s="20" t="str">
        <x:v>qenam2017_text_simplification_consumer</x:v>
      </x:c>
      <x:c r="B16" s="20" t="str">
        <x:v>2017</x:v>
      </x:c>
      <x:c r="C16" s="20" t="str">
        <x:v>Text Simplification Using Consumer Health Vocabulary to Generate Patient-Centered Radiology Reporting: Translation and Evaluation</x:v>
      </x:c>
      <x:c r="D16" s="20" t="str">
        <x:v>01_Core_Clinical_TS</x:v>
      </x:c>
      <x:c r="E16" s="20" t="str">
        <x:v>0</x:v>
      </x:c>
      <x:c r="F16" s="20" t="str">
        <x:v>0</x:v>
      </x:c>
      <x:c r="G16" s="20" t="str">
        <x:v>0</x:v>
      </x:c>
      <x:c r="H16" s="20" t="str">
        <x:v>1</x:v>
      </x:c>
    </x:row>
    <x:row r="17">
      <x:c r="A17" s="20" t="str">
        <x:v>makhmutova2024_medical_text_simplification</x:v>
      </x:c>
      <x:c r="B17" s="20" t="str">
        <x:v>2024</x:v>
      </x:c>
      <x:c r="C17" s="20" t="str">
        <x:v>Automated Medical Text Simplification for Enhanced Patient Understanding</x:v>
      </x:c>
      <x:c r="D17" s="20" t="str">
        <x:v>01_Core_Clinical_TS</x:v>
      </x:c>
      <x:c r="E17" s="20" t="str">
        <x:v>0</x:v>
      </x:c>
      <x:c r="F17" s="20" t="str">
        <x:v>0</x:v>
      </x:c>
      <x:c r="G17" s="20" t="str">
        <x:v>0</x:v>
      </x:c>
      <x:c r="H17" s="20" t="str">
        <x:v>1</x:v>
      </x:c>
    </x:row>
    <x:row r="18">
      <x:c r="A18" s="20" t="str">
        <x:v>vora2025_s_3_pipeline</x:v>
      </x:c>
      <x:c r="B18" s="20" t="str">
        <x:v>2025</x:v>
      </x:c>
      <x:c r="C18" s="20" t="str">
        <x:v>S-3 Pipeline for Biomedical Text Simplification</x:v>
      </x:c>
      <x:c r="D18" s="20" t="str">
        <x:v>01_Core_Clinical_TS</x:v>
      </x:c>
      <x:c r="E18" s="20" t="str">
        <x:v>0</x:v>
      </x:c>
      <x:c r="F18" s="20" t="str">
        <x:v>0</x:v>
      </x:c>
      <x:c r="G18" s="20" t="str">
        <x:v>0</x:v>
      </x:c>
      <x:c r="H18" s="20" t="str">
        <x:v>1</x:v>
      </x:c>
    </x:row>
    <x:row r="19">
      <x:c r="A19" s="20" t="str">
        <x:v>bakker2025_overview_clef_2025</x:v>
      </x:c>
      <x:c r="B19" s="20" t="str">
        <x:v>2025</x:v>
      </x:c>
      <x:c r="C19" s="20" t="str">
        <x:v>Overview of the CLEF 2025 SimpleText Task 1: Scientific and Biomedical Text Simplification</x:v>
      </x:c>
      <x:c r="D19" s="20" t="str">
        <x:v>01_Core_Clinical_TS</x:v>
      </x:c>
      <x:c r="E19" s="20" t="str">
        <x:v>0</x:v>
      </x:c>
      <x:c r="F19" s="20" t="str">
        <x:v>0</x:v>
      </x:c>
      <x:c r="G19" s="20" t="str">
        <x:v>0</x:v>
      </x:c>
      <x:c r="H19" s="20" t="str">
        <x:v>1</x:v>
      </x:c>
    </x:row>
    <x:row r="20">
      <x:c r="A20" s="20" t="str">
        <x:v>grabar2018_clear_medical_french</x:v>
      </x:c>
      <x:c r="B20" s="20" t="str">
        <x:v>2018</x:v>
      </x:c>
      <x:c r="C20" s="20" t="str">
        <x:v>CLEAR: A Corpus for Medical French Text Simplification</x:v>
      </x:c>
      <x:c r="D20" s="20" t="str">
        <x:v>01_Core_Clinical_TS</x:v>
      </x:c>
      <x:c r="E20" s="20" t="str">
        <x:v>0</x:v>
      </x:c>
      <x:c r="F20" s="20" t="str">
        <x:v>1</x:v>
      </x:c>
      <x:c r="G20" s="20" t="str">
        <x:v>0</x:v>
      </x:c>
      <x:c r="H20" s="20" t="str">
        <x:v>0</x:v>
      </x:c>
    </x:row>
    <x:row r="21">
      <x:c r="A21" s="20" t="str">
        <x:v>cardon2020_french_biomedical_text</x:v>
      </x:c>
      <x:c r="B21" s="20" t="str">
        <x:v>2020</x:v>
      </x:c>
      <x:c r="C21" s="20" t="str">
        <x:v>French Biomedical Text Simplification: When Small and Precise Helps</x:v>
      </x:c>
      <x:c r="D21" s="20" t="str">
        <x:v>01_Core_Clinical_TS</x:v>
      </x:c>
      <x:c r="E21" s="20" t="str">
        <x:v>0</x:v>
      </x:c>
      <x:c r="F21" s="20" t="str">
        <x:v>1</x:v>
      </x:c>
      <x:c r="G21" s="20" t="str">
        <x:v>0</x:v>
      </x:c>
      <x:c r="H21" s="20" t="str">
        <x:v>0</x:v>
      </x:c>
    </x:row>
    <x:row r="22">
      <x:c r="A22" s="20" t="str">
        <x:v>aziz2025_banglahealth_bengali_paraphrase</x:v>
      </x:c>
      <x:c r="B22" s="20" t="str">
        <x:v>2025</x:v>
      </x:c>
      <x:c r="C22" s="20" t="str">
        <x:v>BanglaHealth: A Bengali Paraphrase Dataset on Health Domain</x:v>
      </x:c>
      <x:c r="D22" s="20" t="str">
        <x:v>03_Adjacent_Bangla_NLP</x:v>
      </x:c>
      <x:c r="E22" s="20" t="str">
        <x:v>1</x:v>
      </x:c>
      <x:c r="F22" s="20" t="str">
        <x:v>0</x:v>
      </x:c>
      <x:c r="G22" s="20" t="str">
        <x:v>0</x:v>
      </x:c>
      <x:c r="H22" s="20" t="str">
        <x:v>0</x:v>
      </x:c>
    </x:row>
    <x:row r="23">
      <x:c r="A23" s="20" t="str">
        <x:v>khan2023_banglachq_summ_abstractive</x:v>
      </x:c>
      <x:c r="B23" s="20" t="str">
        <x:v>2023</x:v>
      </x:c>
      <x:c r="C23" s="20" t="str">
        <x:v>BanglaCHQ-Summ: An Abstractive Summarization Dataset for Medical Queries in Bangla Conversational Speech</x:v>
      </x:c>
      <x:c r="D23" s="20" t="str">
        <x:v>03_Adjacent_Bangla_NLP</x:v>
      </x:c>
      <x:c r="E23" s="20" t="str">
        <x:v>1</x:v>
      </x:c>
      <x:c r="F23" s="20" t="str">
        <x:v>0</x:v>
      </x:c>
      <x:c r="G23" s="20" t="str">
        <x:v>0</x:v>
      </x:c>
      <x:c r="H23" s="20" t="str">
        <x:v>0</x:v>
      </x:c>
    </x:row>
    <x:row r="24">
      <x:c r="A24" s="20" t="str">
        <x:v>khan2023_nervous_about_my</x:v>
      </x:c>
      <x:c r="B24" s="20" t="str">
        <x:v>2023</x:v>
      </x:c>
      <x:c r="C24" s="20" t="str">
        <x:v>NERvous About My Health: Constructing a Bengali Medical Named Entity Recognition Dataset</x:v>
      </x:c>
      <x:c r="D24" s="20" t="str">
        <x:v>03_Adjacent_Bangla_NLP</x:v>
      </x:c>
      <x:c r="E24" s="20" t="str">
        <x:v>1</x:v>
      </x:c>
      <x:c r="F24" s="20" t="str">
        <x:v>0</x:v>
      </x:c>
      <x:c r="G24" s="20" t="str">
        <x:v>0</x:v>
      </x:c>
      <x:c r="H24" s="20" t="str">
        <x:v>0</x:v>
      </x:c>
    </x:row>
    <x:row r="25">
      <x:c r="A25" s="20" t="str">
        <x:v>islam2026_bangla_meder_multi</x:v>
      </x:c>
      <x:c r="B25" s="20" t="str">
        <x:v>2026</x:v>
      </x:c>
      <x:c r="C25" s="20" t="str">
        <x:v>Bangla-MedER: Multi-BERT Ensemble Approach for the Recognition of Bangla Medical Entities</x:v>
      </x:c>
      <x:c r="D25" s="20" t="str">
        <x:v>03_Adjacent_Bangla_NLP</x:v>
      </x:c>
      <x:c r="E25" s="20" t="str">
        <x:v>1</x:v>
      </x:c>
      <x:c r="F25" s="20" t="str">
        <x:v>0</x:v>
      </x:c>
      <x:c r="G25" s="20" t="str">
        <x:v>0</x:v>
      </x:c>
      <x:c r="H25" s="20" t="str">
        <x:v>0</x:v>
      </x:c>
    </x:row>
    <x:row r="26">
      <x:c r="A26" s="20" t="str">
        <x:v>bhattacharjee2022_banglabert_language_pretraining</x:v>
      </x:c>
      <x:c r="B26" s="20" t="str">
        <x:v>2022</x:v>
      </x:c>
      <x:c r="C26" s="20" t="str">
        <x:v>BanglaBERT: Language Model Pretraining and Benchmarks for Low-Resource Language Understanding Evaluation in Bangla</x:v>
      </x:c>
      <x:c r="D26" s="20" t="str">
        <x:v>03_Adjacent_Bangla_NLP</x:v>
      </x:c>
      <x:c r="E26" s="20" t="str">
        <x:v>1</x:v>
      </x:c>
      <x:c r="F26" s="20" t="str">
        <x:v>0</x:v>
      </x:c>
      <x:c r="G26" s="20" t="str">
        <x:v>0</x:v>
      </x:c>
      <x:c r="H26" s="20" t="str">
        <x:v>0</x:v>
      </x:c>
    </x:row>
    <x:row r="27">
      <x:c r="A27" s="20" t="str">
        <x:v>das2024_banglat5_banglabert0_pretrained</x:v>
      </x:c>
      <x:c r="B27" s="20" t="str">
        <x:v>2024</x:v>
      </x:c>
      <x:c r="C27" s="20" t="str">
        <x:v>BanglaT5 and BanglaBERT0: Large Pretrained Language Models for Bangla</x:v>
      </x:c>
      <x:c r="D27" s="20" t="str">
        <x:v>03_Adjacent_Bangla_NLP</x:v>
      </x:c>
      <x:c r="E27" s="20" t="str">
        <x:v>1</x:v>
      </x:c>
      <x:c r="F27" s="20" t="str">
        <x:v>0</x:v>
      </x:c>
      <x:c r="G27" s="20" t="str">
        <x:v>0</x:v>
      </x:c>
      <x:c r="H27" s="20" t="str">
        <x:v>0</x:v>
      </x:c>
    </x:row>
    <x:row r="28">
      <x:c r="A28" s="20" t="str">
        <x:v>mahtab2025_benchmark_context_driven</x:v>
      </x:c>
      <x:c r="B28" s="20" t="str">
        <x:v>2025</x:v>
      </x:c>
      <x:c r="C28" s="20" t="str">
        <x:v>A Benchmark Dataset and Context-Driven Approach for Bangla Named Entity Recognition</x:v>
      </x:c>
      <x:c r="D28" s="20" t="str">
        <x:v>03_Adjacent_Bangla_NLP</x:v>
      </x:c>
      <x:c r="E28" s="20" t="str">
        <x:v>1</x:v>
      </x:c>
      <x:c r="F28" s="20" t="str">
        <x:v>0</x:v>
      </x:c>
      <x:c r="G28" s="20" t="str">
        <x:v>0</x:v>
      </x:c>
      <x:c r="H28" s="20" t="str">
        <x:v>0</x:v>
      </x:c>
    </x:row>
    <x:row r="29">
      <x:c r="A29" s="20" t="str">
        <x:v>ekbal2008_bengali_named_entity</x:v>
      </x:c>
      <x:c r="B29" s="20" t="str">
        <x:v>2008</x:v>
      </x:c>
      <x:c r="C29" s="20" t="str">
        <x:v>Bengali Named Entity Recognition Using Support Vector Machine</x:v>
      </x:c>
      <x:c r="D29" s="20" t="str">
        <x:v>03_Adjacent_Bangla_NLP</x:v>
      </x:c>
      <x:c r="E29" s="20" t="str">
        <x:v>1</x:v>
      </x:c>
      <x:c r="F29" s="20" t="str">
        <x:v>0</x:v>
      </x:c>
      <x:c r="G29" s="20" t="str">
        <x:v>0</x:v>
      </x:c>
      <x:c r="H29" s="20" t="str">
        <x:v>0</x:v>
      </x:c>
    </x:row>
    <x:row r="30">
      <x:c r="A30" s="20" t="str">
        <x:v>hossain2017_bengali_question_answering</x:v>
      </x:c>
      <x:c r="B30" s="20" t="str">
        <x:v>2017</x:v>
      </x:c>
      <x:c r="C30" s="20" t="str">
        <x:v>A Dataset for Bengali Question Answering in the Health Domain</x:v>
      </x:c>
      <x:c r="D30" s="20" t="str">
        <x:v>03_Adjacent_Bangla_NLP</x:v>
      </x:c>
      <x:c r="E30" s="20" t="str">
        <x:v>1</x:v>
      </x:c>
      <x:c r="F30" s="20" t="str">
        <x:v>0</x:v>
      </x:c>
      <x:c r="G30" s="20" t="str">
        <x:v>0</x:v>
      </x:c>
      <x:c r="H30" s="20" t="str">
        <x:v>0</x:v>
      </x:c>
    </x:row>
    <x:row r="31">
      <x:c r="A31" s="20" t="str">
        <x:v>laskar2023_benllmeval_comprehensive_evaluation</x:v>
      </x:c>
      <x:c r="B31" s="20" t="str">
        <x:v>2023</x:v>
      </x:c>
      <x:c r="C31" s="20" t="str">
        <x:v>BenLLMEval: A Comprehensive Evaluation into the Potentials and Pitfalls of Large Language Models on Bengali NLP</x:v>
      </x:c>
      <x:c r="D31" s="20" t="str">
        <x:v>03_Adjacent_Bangla_NLP</x:v>
      </x:c>
      <x:c r="E31" s="20" t="str">
        <x:v>1</x:v>
      </x:c>
      <x:c r="F31" s="20" t="str">
        <x:v>0</x:v>
      </x:c>
      <x:c r="G31" s="20" t="str">
        <x:v>0</x:v>
      </x:c>
      <x:c r="H31" s="20" t="str">
        <x:v>0</x:v>
      </x:c>
    </x:row>
    <x:row r="32">
      <x:c r="A32" s="20" t="str">
        <x:v>kakwani2020_indicnlpsuite_monolingual_corpora</x:v>
      </x:c>
      <x:c r="B32" s="20" t="str">
        <x:v>2020</x:v>
      </x:c>
      <x:c r="C32" s="20" t="str">
        <x:v>IndicNLPSuite: Monolingual Corpora, Evaluation Benchmarks and Pre-trained Multilingual Language Models for Indian Languages</x:v>
      </x:c>
      <x:c r="D32" s="20" t="str">
        <x:v>03_Adjacent_Bangla_NLP</x:v>
      </x:c>
      <x:c r="E32" s="20" t="str">
        <x:v>1</x:v>
      </x:c>
      <x:c r="F32" s="20" t="str">
        <x:v>0</x:v>
      </x:c>
      <x:c r="G32" s="20" t="str">
        <x:v>0</x:v>
      </x:c>
      <x:c r="H32" s="20" t="str">
        <x:v>0</x:v>
      </x:c>
    </x:row>
    <x:row r="33">
      <x:c r="A33" s="20" t="str">
        <x:v>ramesh2022_samanantar_largest_publicly</x:v>
      </x:c>
      <x:c r="B33" s="20" t="str">
        <x:v>2022</x:v>
      </x:c>
      <x:c r="C33" s="20" t="str">
        <x:v>Samanantar: The Largest Publicly Available Parallel Corpora Collection for 11 Indic Languages</x:v>
      </x:c>
      <x:c r="D33" s="20" t="str">
        <x:v>03_Adjacent_Bangla_NLP</x:v>
      </x:c>
      <x:c r="E33" s="20" t="str">
        <x:v>1</x:v>
      </x:c>
      <x:c r="F33" s="20" t="str">
        <x:v>0</x:v>
      </x:c>
      <x:c r="G33" s="20" t="str">
        <x:v>0</x:v>
      </x:c>
      <x:c r="H33" s="20" t="str">
        <x:v>0</x:v>
      </x:c>
    </x:row>
    <x:row r="34">
      <x:c r="A34" s="20" t="str">
        <x:v>doddapaneni2023_indictrans2_high_quality</x:v>
      </x:c>
      <x:c r="B34" s="20" t="str">
        <x:v>2023</x:v>
      </x:c>
      <x:c r="C34" s="20" t="str">
        <x:v>IndicTrans2: Towards High-Quality and Accessible Machine Translation Models for all 22 Scheduled Indian Languages</x:v>
      </x:c>
      <x:c r="D34" s="20" t="str">
        <x:v>03_Adjacent_Bangla_NLP</x:v>
      </x:c>
      <x:c r="E34" s="20" t="str">
        <x:v>1</x:v>
      </x:c>
      <x:c r="F34" s="20" t="str">
        <x:v>0</x:v>
      </x:c>
      <x:c r="G34" s="20" t="str">
        <x:v>0</x:v>
      </x:c>
      <x:c r="H34" s="20" t="str">
        <x:v>0</x:v>
      </x:c>
    </x:row>
    <x:row r="35">
      <x:c r="A35" s="20" t="str">
        <x:v>costajuss2022_no_language_left</x:v>
      </x:c>
      <x:c r="B35" s="20" t="str">
        <x:v>2022</x:v>
      </x:c>
      <x:c r="C35" s="20" t="str">
        <x:v>No Language Left Behind: Scaling Human-Centered Machine Translation</x:v>
      </x:c>
      <x:c r="D35" s="20" t="str">
        <x:v>03_Adjacent_Bangla_NLP</x:v>
      </x:c>
      <x:c r="E35" s="20" t="str">
        <x:v>0</x:v>
      </x:c>
      <x:c r="F35" s="20" t="str">
        <x:v>1</x:v>
      </x:c>
      <x:c r="G35" s="20" t="str">
        <x:v>0</x:v>
      </x:c>
      <x:c r="H35" s="20" t="str">
        <x:v>0</x:v>
      </x:c>
    </x:row>
    <x:row r="36">
      <x:c r="A36" s="20" t="str">
        <x:v>dabre2020_multilingual_neural_machine</x:v>
      </x:c>
      <x:c r="B36" s="20" t="str">
        <x:v>2020</x:v>
      </x:c>
      <x:c r="C36" s="20" t="str">
        <x:v>A Survey of Multilingual Neural Machine Translation</x:v>
      </x:c>
      <x:c r="D36" s="20" t="str">
        <x:v>03_Adjacent_Bangla_NLP</x:v>
      </x:c>
      <x:c r="E36" s="20" t="str">
        <x:v>0</x:v>
      </x:c>
      <x:c r="F36" s="20" t="str">
        <x:v>1</x:v>
      </x:c>
      <x:c r="G36" s="20" t="str">
        <x:v>0</x:v>
      </x:c>
      <x:c r="H36" s="20" t="str">
        <x:v>0</x:v>
      </x:c>
    </x:row>
    <x:row r="37">
      <x:c r="A37" s="20" t="str">
        <x:v>hasan2020_not_low_resource</x:v>
      </x:c>
      <x:c r="B37" s="20" t="str">
        <x:v>2020</x:v>
      </x:c>
      <x:c r="C37" s="20" t="str">
        <x:v>Not Low-Resource Anymore: Aligner Ensembling, Batch Filtering, and New Datasets for Bengali-English Machine Translation</x:v>
      </x:c>
      <x:c r="D37" s="20" t="str">
        <x:v>03_Adjacent_Bangla_NLP</x:v>
      </x:c>
      <x:c r="E37" s="20" t="str">
        <x:v>1</x:v>
      </x:c>
      <x:c r="F37" s="20" t="str">
        <x:v>0</x:v>
      </x:c>
      <x:c r="G37" s="20" t="str">
        <x:v>0</x:v>
      </x:c>
      <x:c r="H37" s="20" t="str">
        <x:v>0</x:v>
      </x:c>
    </x:row>
    <x:row r="38">
      <x:c r="A38" s="20" t="str">
        <x:v>akter2025_banglat5_mhealth_bengali</x:v>
      </x:c>
      <x:c r="B38" s="20" t="str">
        <x:v>2025</x:v>
      </x:c>
      <x:c r="C38" s="20" t="str">
        <x:v>BanglaT5-mHealth: A Bengali Health-Domain Paraphrasing Model</x:v>
      </x:c>
      <x:c r="D38" s="20" t="str">
        <x:v>03_Adjacent_Bangla_NLP</x:v>
      </x:c>
      <x:c r="E38" s="20" t="str">
        <x:v>1</x:v>
      </x:c>
      <x:c r="F38" s="20" t="str">
        <x:v>0</x:v>
      </x:c>
      <x:c r="G38" s="20" t="str">
        <x:v>0</x:v>
      </x:c>
      <x:c r="H38" s="20" t="str">
        <x:v>0</x:v>
      </x:c>
    </x:row>
    <x:row r="39">
      <x:c r="A39" s="20" t="str">
        <x:v>maynez2020_faithfulness_factuality_abstractive</x:v>
      </x:c>
      <x:c r="B39" s="20" t="str">
        <x:v>2020</x:v>
      </x:c>
      <x:c r="C39" s="20" t="str">
        <x:v>On Faithfulness and Factuality in Abstractive Summarization</x:v>
      </x:c>
      <x:c r="D39" s="20" t="str">
        <x:v>04_Factuality_Methods</x:v>
      </x:c>
      <x:c r="E39" s="20" t="str">
        <x:v>0</x:v>
      </x:c>
      <x:c r="F39" s="20" t="str">
        <x:v>0</x:v>
      </x:c>
      <x:c r="G39" s="20" t="str">
        <x:v>0</x:v>
      </x:c>
      <x:c r="H39" s="20" t="str">
        <x:v>1</x:v>
      </x:c>
    </x:row>
    <x:row r="40">
      <x:c r="A40" s="20" t="str">
        <x:v>pagnoni2021_understanding_factuality_abstractive</x:v>
      </x:c>
      <x:c r="B40" s="20" t="str">
        <x:v>2021</x:v>
      </x:c>
      <x:c r="C40" s="20" t="str">
        <x:v>Understanding Factuality in Abstractive Summarization with FRANK: A Benchmark for Factuality Metrics</x:v>
      </x:c>
      <x:c r="D40" s="20" t="str">
        <x:v>04_Factuality_Methods</x:v>
      </x:c>
      <x:c r="E40" s="20" t="str">
        <x:v>0</x:v>
      </x:c>
      <x:c r="F40" s="20" t="str">
        <x:v>0</x:v>
      </x:c>
      <x:c r="G40" s="20" t="str">
        <x:v>0</x:v>
      </x:c>
      <x:c r="H40" s="20" t="str">
        <x:v>1</x:v>
      </x:c>
    </x:row>
    <x:row r="41">
      <x:c r="A41" s="20" t="str">
        <x:v>gabriel2021_go_figure_meta</x:v>
      </x:c>
      <x:c r="B41" s="20" t="str">
        <x:v>2021</x:v>
      </x:c>
      <x:c r="C41" s="20" t="str">
        <x:v>GO FIGURE: A Meta Evaluation of Factuality in Summarization</x:v>
      </x:c>
      <x:c r="D41" s="20" t="str">
        <x:v>04_Factuality_Methods</x:v>
      </x:c>
      <x:c r="E41" s="20" t="str">
        <x:v>0</x:v>
      </x:c>
      <x:c r="F41" s="20" t="str">
        <x:v>0</x:v>
      </x:c>
      <x:c r="G41" s="20" t="str">
        <x:v>0</x:v>
      </x:c>
      <x:c r="H41" s="20" t="str">
        <x:v>1</x:v>
      </x:c>
    </x:row>
    <x:row r="42">
      <x:c r="A42" s="20" t="str">
        <x:v>falke2019_ranking_generated_summaries</x:v>
      </x:c>
      <x:c r="B42" s="20" t="str">
        <x:v>2019</x:v>
      </x:c>
      <x:c r="C42" s="20" t="str">
        <x:v>Ranking Generated Summaries by Correctness: An Interesting but Challenging Application for Natural Language Inference</x:v>
      </x:c>
      <x:c r="D42" s="20" t="str">
        <x:v>04_Factuality_Methods</x:v>
      </x:c>
      <x:c r="E42" s="20" t="str">
        <x:v>0</x:v>
      </x:c>
      <x:c r="F42" s="20" t="str">
        <x:v>0</x:v>
      </x:c>
      <x:c r="G42" s="20" t="str">
        <x:v>0</x:v>
      </x:c>
      <x:c r="H42" s="20" t="str">
        <x:v>1</x:v>
      </x:c>
    </x:row>
    <x:row r="43">
      <x:c r="A43" s="20" t="str">
        <x:v>kryscinski2020_evaluating_factual_consistency</x:v>
      </x:c>
      <x:c r="B43" s="20" t="str">
        <x:v>2020</x:v>
      </x:c>
      <x:c r="C43" s="20" t="str">
        <x:v>Evaluating the Factual Consistency of Abstractive Text Summarization</x:v>
      </x:c>
      <x:c r="D43" s="20" t="str">
        <x:v>04_Factuality_Methods</x:v>
      </x:c>
      <x:c r="E43" s="20" t="str">
        <x:v>0</x:v>
      </x:c>
      <x:c r="F43" s="20" t="str">
        <x:v>0</x:v>
      </x:c>
      <x:c r="G43" s="20" t="str">
        <x:v>0</x:v>
      </x:c>
      <x:c r="H43" s="20" t="str">
        <x:v>1</x:v>
      </x:c>
    </x:row>
    <x:row r="44">
      <x:c r="A44" s="20" t="str">
        <x:v>goyal2021_annotating_modeling_fine</x:v>
      </x:c>
      <x:c r="B44" s="20" t="str">
        <x:v>2021</x:v>
      </x:c>
      <x:c r="C44" s="20" t="str">
        <x:v>Annotating and Modeling Fine-grained Factuality in Summarization</x:v>
      </x:c>
      <x:c r="D44" s="20" t="str">
        <x:v>04_Factuality_Methods</x:v>
      </x:c>
      <x:c r="E44" s="20" t="str">
        <x:v>0</x:v>
      </x:c>
      <x:c r="F44" s="20" t="str">
        <x:v>0</x:v>
      </x:c>
      <x:c r="G44" s="20" t="str">
        <x:v>0</x:v>
      </x:c>
      <x:c r="H44" s="20" t="str">
        <x:v>1</x:v>
      </x:c>
    </x:row>
    <x:row r="45">
      <x:c r="A45" s="20" t="str">
        <x:v>fabbri2021_summeval_re_evaluating</x:v>
      </x:c>
      <x:c r="B45" s="20" t="str">
        <x:v>2021</x:v>
      </x:c>
      <x:c r="C45" s="20" t="str">
        <x:v>SummEval: Re-evaluating Summarization Evaluation</x:v>
      </x:c>
      <x:c r="D45" s="20" t="str">
        <x:v>04_Factuality_Methods</x:v>
      </x:c>
      <x:c r="E45" s="20" t="str">
        <x:v>0</x:v>
      </x:c>
      <x:c r="F45" s="20" t="str">
        <x:v>0</x:v>
      </x:c>
      <x:c r="G45" s="20" t="str">
        <x:v>0</x:v>
      </x:c>
      <x:c r="H45" s="20" t="str">
        <x:v>1</x:v>
      </x:c>
    </x:row>
    <x:row r="46">
      <x:c r="A46" s="20" t="str">
        <x:v>durmus2020_feqa_question_answering</x:v>
      </x:c>
      <x:c r="B46" s="20" t="str">
        <x:v>2020</x:v>
      </x:c>
      <x:c r="C46" s="20" t="str">
        <x:v>FEQA: A Question Answering Evaluation Framework for Faithfulness Assessment in Abstractive Summarization</x:v>
      </x:c>
      <x:c r="D46" s="20" t="str">
        <x:v>04_Factuality_Methods</x:v>
      </x:c>
      <x:c r="E46" s="20" t="str">
        <x:v>0</x:v>
      </x:c>
      <x:c r="F46" s="20" t="str">
        <x:v>0</x:v>
      </x:c>
      <x:c r="G46" s="20" t="str">
        <x:v>0</x:v>
      </x:c>
      <x:c r="H46" s="20" t="str">
        <x:v>1</x:v>
      </x:c>
    </x:row>
    <x:row r="47">
      <x:c r="A47" s="20" t="str">
        <x:v>wang2020_asking_answering_questions</x:v>
      </x:c>
      <x:c r="B47" s="20" t="str">
        <x:v>2020</x:v>
      </x:c>
      <x:c r="C47" s="20" t="str">
        <x:v>Asking and Answering Questions to Evaluate the Factual Consistency of Summaries</x:v>
      </x:c>
      <x:c r="D47" s="20" t="str">
        <x:v>04_Factuality_Methods</x:v>
      </x:c>
      <x:c r="E47" s="20" t="str">
        <x:v>0</x:v>
      </x:c>
      <x:c r="F47" s="20" t="str">
        <x:v>0</x:v>
      </x:c>
      <x:c r="G47" s="20" t="str">
        <x:v>0</x:v>
      </x:c>
      <x:c r="H47" s="20" t="str">
        <x:v>1</x:v>
      </x:c>
    </x:row>
    <x:row r="48">
      <x:c r="A48" s="20" t="str">
        <x:v>scialom2021_questeval_summarization_asks</x:v>
      </x:c>
      <x:c r="B48" s="20" t="str">
        <x:v>2021</x:v>
      </x:c>
      <x:c r="C48" s="20" t="str">
        <x:v>QuestEval: Summarization Asks for Fact-based Evaluation</x:v>
      </x:c>
      <x:c r="D48" s="20" t="str">
        <x:v>04_Factuality_Methods</x:v>
      </x:c>
      <x:c r="E48" s="20" t="str">
        <x:v>0</x:v>
      </x:c>
      <x:c r="F48" s="20" t="str">
        <x:v>0</x:v>
      </x:c>
      <x:c r="G48" s="20" t="str">
        <x:v>0</x:v>
      </x:c>
      <x:c r="H48" s="20" t="str">
        <x:v>1</x:v>
      </x:c>
    </x:row>
    <x:row r="49">
      <x:c r="A49" s="20" t="str">
        <x:v>laban2022_summac_re_visiting</x:v>
      </x:c>
      <x:c r="B49" s="20" t="str">
        <x:v>2022</x:v>
      </x:c>
      <x:c r="C49" s="20" t="str">
        <x:v>SummaC: Re-Visiting NLI-based Models for Inconsistency Detection in Summarization</x:v>
      </x:c>
      <x:c r="D49" s="20" t="str">
        <x:v>04_Factuality_Methods</x:v>
      </x:c>
      <x:c r="E49" s="20" t="str">
        <x:v>0</x:v>
      </x:c>
      <x:c r="F49" s="20" t="str">
        <x:v>0</x:v>
      </x:c>
      <x:c r="G49" s="20" t="str">
        <x:v>0</x:v>
      </x:c>
      <x:c r="H49" s="20" t="str">
        <x:v>1</x:v>
      </x:c>
    </x:row>
    <x:row r="50">
      <x:c r="A50" s="20" t="str">
        <x:v>min2023_factscore_fine_grained</x:v>
      </x:c>
      <x:c r="B50" s="20" t="str">
        <x:v>2023</x:v>
      </x:c>
      <x:c r="C50" s="20" t="str">
        <x:v>FActScore: Fine-grained Atomic Evaluation of Factual Precision in Long Form Text Generation</x:v>
      </x:c>
      <x:c r="D50" s="20" t="str">
        <x:v>04_Factuality_Methods</x:v>
      </x:c>
      <x:c r="E50" s="20" t="str">
        <x:v>0</x:v>
      </x:c>
      <x:c r="F50" s="20" t="str">
        <x:v>0</x:v>
      </x:c>
      <x:c r="G50" s="20" t="str">
        <x:v>0</x:v>
      </x:c>
      <x:c r="H50" s="20" t="str">
        <x:v>1</x:v>
      </x:c>
    </x:row>
    <x:row r="51">
      <x:c r="A51" s="20" t="str">
        <x:v>zha2023_alignscore_evaluating_factual</x:v>
      </x:c>
      <x:c r="B51" s="20" t="str">
        <x:v>2023</x:v>
      </x:c>
      <x:c r="C51" s="20" t="str">
        <x:v>AlignScore: Evaluating Factual Consistency with A Unified Alignment Function</x:v>
      </x:c>
      <x:c r="D51" s="20" t="str">
        <x:v>04_Factuality_Methods</x:v>
      </x:c>
      <x:c r="E51" s="20" t="str">
        <x:v>0</x:v>
      </x:c>
      <x:c r="F51" s="20" t="str">
        <x:v>0</x:v>
      </x:c>
      <x:c r="G51" s="20" t="str">
        <x:v>0</x:v>
      </x:c>
      <x:c r="H51" s="20" t="str">
        <x:v>1</x:v>
      </x:c>
    </x:row>
    <x:row r="52">
      <x:c r="A52" s="20" t="str">
        <x:v>koto2020_ffci_framework_interpretable</x:v>
      </x:c>
      <x:c r="B52" s="20" t="str">
        <x:v>2020</x:v>
      </x:c>
      <x:c r="C52" s="20" t="str">
        <x:v>FFCI: A Framework for Interpretable Automatic Evaluation of Summarization</x:v>
      </x:c>
      <x:c r="D52" s="20" t="str">
        <x:v>04_Factuality_Methods</x:v>
      </x:c>
      <x:c r="E52" s="20" t="str">
        <x:v>0</x:v>
      </x:c>
      <x:c r="F52" s="20" t="str">
        <x:v>0</x:v>
      </x:c>
      <x:c r="G52" s="20" t="str">
        <x:v>0</x:v>
      </x:c>
      <x:c r="H52" s="20" t="str">
        <x:v>1</x:v>
      </x:c>
    </x:row>
    <x:row r="53">
      <x:c r="A53" s="20" t="str">
        <x:v>cao2018_faithful_original_fact</x:v>
      </x:c>
      <x:c r="B53" s="20" t="str">
        <x:v>2018</x:v>
      </x:c>
      <x:c r="C53" s="20" t="str">
        <x:v>Faithful to the Original: Fact Aware Neural Abstractive Summarization</x:v>
      </x:c>
      <x:c r="D53" s="20" t="str">
        <x:v>04_Factuality_Methods</x:v>
      </x:c>
      <x:c r="E53" s="20" t="str">
        <x:v>0</x:v>
      </x:c>
      <x:c r="F53" s="20" t="str">
        <x:v>0</x:v>
      </x:c>
      <x:c r="G53" s="20" t="str">
        <x:v>0</x:v>
      </x:c>
      <x:c r="H53" s="20" t="str">
        <x:v>1</x:v>
      </x:c>
    </x:row>
    <x:row r="54">
      <x:c r="A54" s="20" t="str">
        <x:v>goodrich2019_assessing_factual_accuracy</x:v>
      </x:c>
      <x:c r="B54" s="20" t="str">
        <x:v>2019</x:v>
      </x:c>
      <x:c r="C54" s="20" t="str">
        <x:v>Assessing the Factual Accuracy of Generated Text</x:v>
      </x:c>
      <x:c r="D54" s="20" t="str">
        <x:v>04_Factuality_Methods</x:v>
      </x:c>
      <x:c r="E54" s="20" t="str">
        <x:v>0</x:v>
      </x:c>
      <x:c r="F54" s="20" t="str">
        <x:v>0</x:v>
      </x:c>
      <x:c r="G54" s="20" t="str">
        <x:v>0</x:v>
      </x:c>
      <x:c r="H54" s="20" t="str">
        <x:v>1</x:v>
      </x:c>
    </x:row>
    <x:row r="55">
      <x:c r="A55" s="20" t="str">
        <x:v>dziri2022_evaluating_attribution_dialogue</x:v>
      </x:c>
      <x:c r="B55" s="20" t="str">
        <x:v>2022</x:v>
      </x:c>
      <x:c r="C55" s="20" t="str">
        <x:v>Evaluating Attribution in Dialogue Systems: The BEGIN Benchmark</x:v>
      </x:c>
      <x:c r="D55" s="20" t="str">
        <x:v>04_Factuality_Methods</x:v>
      </x:c>
      <x:c r="E55" s="20" t="str">
        <x:v>0</x:v>
      </x:c>
      <x:c r="F55" s="20" t="str">
        <x:v>0</x:v>
      </x:c>
      <x:c r="G55" s="20" t="str">
        <x:v>0</x:v>
      </x:c>
      <x:c r="H55" s="20" t="str">
        <x:v>1</x:v>
      </x:c>
    </x:row>
    <x:row r="56">
      <x:c r="A56" s="20" t="str">
        <x:v>rashkin2023_measuring_attribution_natural</x:v>
      </x:c>
      <x:c r="B56" s="20" t="str">
        <x:v>2023</x:v>
      </x:c>
      <x:c r="C56" s="20" t="str">
        <x:v>Measuring Attribution in Natural Language Generation Models</x:v>
      </x:c>
      <x:c r="D56" s="20" t="str">
        <x:v>04_Factuality_Methods</x:v>
      </x:c>
      <x:c r="E56" s="20" t="str">
        <x:v>0</x:v>
      </x:c>
      <x:c r="F56" s="20" t="str">
        <x:v>0</x:v>
      </x:c>
      <x:c r="G56" s="20" t="str">
        <x:v>0</x:v>
      </x:c>
      <x:c r="H56" s="20" t="str">
        <x:v>1</x:v>
      </x:c>
    </x:row>
    <x:row r="57">
      <x:c r="A57" s="20" t="str">
        <x:v>li2023_hallucination_natural_language</x:v>
      </x:c>
      <x:c r="B57" s="20" t="str">
        <x:v>2023</x:v>
      </x:c>
      <x:c r="C57" s="20" t="str">
        <x:v>Survey of Hallucination in Natural Language Generation</x:v>
      </x:c>
      <x:c r="D57" s="20" t="str">
        <x:v>04_Factuality_Methods</x:v>
      </x:c>
      <x:c r="E57" s="20" t="str">
        <x:v>0</x:v>
      </x:c>
      <x:c r="F57" s="20" t="str">
        <x:v>0</x:v>
      </x:c>
      <x:c r="G57" s="20" t="str">
        <x:v>0</x:v>
      </x:c>
      <x:c r="H57" s="20" t="str">
        <x:v>1</x:v>
      </x:c>
    </x:row>
    <x:row r="58">
      <x:c r="A58" s="20" t="str">
        <x:v>ji2023_hallucination_natural_language</x:v>
      </x:c>
      <x:c r="B58" s="20" t="str">
        <x:v>2023</x:v>
      </x:c>
      <x:c r="C58" s="20" t="str">
        <x:v>Survey of Hallucination in Natural Language Generation</x:v>
      </x:c>
      <x:c r="D58" s="20" t="str">
        <x:v>04_Factuality_Methods</x:v>
      </x:c>
      <x:c r="E58" s="20" t="str">
        <x:v>0</x:v>
      </x:c>
      <x:c r="F58" s="20" t="str">
        <x:v>0</x:v>
      </x:c>
      <x:c r="G58" s="20" t="str">
        <x:v>0</x:v>
      </x:c>
      <x:c r="H58" s="20" t="str">
        <x:v>1</x:v>
      </x:c>
    </x:row>
    <x:row r="59">
      <x:c r="A59" s="20" t="str">
        <x:v>manakul2023_selfcheckgpt_zero_resource</x:v>
      </x:c>
      <x:c r="B59" s="20" t="str">
        <x:v>2023</x:v>
      </x:c>
      <x:c r="C59" s="20" t="str">
        <x:v>SelfCheckGPT: Zero-Resource Black-Box Hallucination Detection for Generative Large Language Models</x:v>
      </x:c>
      <x:c r="D59" s="20" t="str">
        <x:v>04_Factuality_Methods</x:v>
      </x:c>
      <x:c r="E59" s="20" t="str">
        <x:v>0</x:v>
      </x:c>
      <x:c r="F59" s="20" t="str">
        <x:v>0</x:v>
      </x:c>
      <x:c r="G59" s="20" t="str">
        <x:v>0</x:v>
      </x:c>
      <x:c r="H59" s="20" t="str">
        <x:v>1</x:v>
      </x:c>
    </x:row>
    <x:row r="60">
      <x:c r="A60" s="20" t="str">
        <x:v>li2023_halueval_hallucination_evaluation</x:v>
      </x:c>
      <x:c r="B60" s="20" t="str">
        <x:v>2023</x:v>
      </x:c>
      <x:c r="C60" s="20" t="str">
        <x:v>HaluEval: A Large-Scale Hallucination Evaluation Benchmark for Large Language Models</x:v>
      </x:c>
      <x:c r="D60" s="20" t="str">
        <x:v>04_Factuality_Methods</x:v>
      </x:c>
      <x:c r="E60" s="20" t="str">
        <x:v>0</x:v>
      </x:c>
      <x:c r="F60" s="20" t="str">
        <x:v>0</x:v>
      </x:c>
      <x:c r="G60" s="20" t="str">
        <x:v>0</x:v>
      </x:c>
      <x:c r="H60" s="20" t="str">
        <x:v>1</x:v>
      </x:c>
    </x:row>
    <x:row r="61">
      <x:c r="A61" s="20" t="str">
        <x:v>chen2024_hallucination_detection_robustly</x:v>
      </x:c>
      <x:c r="B61" s="20" t="str">
        <x:v>2024</x:v>
      </x:c>
      <x:c r="C61" s="20" t="str">
        <x:v>Hallucination Detection: Robustly Discerning Reliable Answers in Large Language Models</x:v>
      </x:c>
      <x:c r="D61" s="20" t="str">
        <x:v>04_Factuality_Methods</x:v>
      </x:c>
      <x:c r="E61" s="20" t="str">
        <x:v>0</x:v>
      </x:c>
      <x:c r="F61" s="20" t="str">
        <x:v>0</x:v>
      </x:c>
      <x:c r="G61" s="20" t="str">
        <x:v>0</x:v>
      </x:c>
      <x:c r="H61" s="20" t="str">
        <x:v>1</x:v>
      </x:c>
    </x:row>
    <x:row r="62">
      <x:c r="A62" s="20" t="str">
        <x:v>tam2023_checking_facts_fact</x:v>
      </x:c>
      <x:c r="B62" s="20" t="str">
        <x:v>2023</x:v>
      </x:c>
      <x:c r="C62" s="20" t="str">
        <x:v>Checking the Facts: A Survey of Fact-Checking with Large Language Models</x:v>
      </x:c>
      <x:c r="D62" s="20" t="str">
        <x:v>04_Factuality_Methods</x:v>
      </x:c>
      <x:c r="E62" s="20" t="str">
        <x:v>0</x:v>
      </x:c>
      <x:c r="F62" s="20" t="str">
        <x:v>0</x:v>
      </x:c>
      <x:c r="G62" s="20" t="str">
        <x:v>0</x:v>
      </x:c>
      <x:c r="H62" s="20" t="str">
        <x:v>1</x:v>
      </x:c>
    </x:row>
    <x:row r="63">
      <x:c r="A63" s="20" t="str">
        <x:v>huang2025_hallucination_language_principles</x:v>
      </x:c>
      <x:c r="B63" s="20" t="str">
        <x:v>2025</x:v>
      </x:c>
      <x:c r="C63" s="20" t="str">
        <x:v>A Survey on Hallucination in Large Language Models: Principles, Taxonomy, Challenges, and Open Questions</x:v>
      </x:c>
      <x:c r="D63" s="20" t="str">
        <x:v>04_Factuality_Methods</x:v>
      </x:c>
      <x:c r="E63" s="20" t="str">
        <x:v>0</x:v>
      </x:c>
      <x:c r="F63" s="20" t="str">
        <x:v>0</x:v>
      </x:c>
      <x:c r="G63" s="20" t="str">
        <x:v>0</x:v>
      </x:c>
      <x:c r="H63" s="20" t="str">
        <x:v>1</x:v>
      </x:c>
    </x:row>
    <x:row r="64">
      <x:c r="A64" s="20" t="str">
        <x:v>liu2024_lost_middle_how</x:v>
      </x:c>
      <x:c r="B64" s="20" t="str">
        <x:v>2024</x:v>
      </x:c>
      <x:c r="C64" s="20" t="str">
        <x:v>Lost in the Middle: How Language Models Use Long Contexts</x:v>
      </x:c>
      <x:c r="D64" s="20" t="str">
        <x:v>04_Factuality_Methods</x:v>
      </x:c>
      <x:c r="E64" s="20" t="str">
        <x:v>0</x:v>
      </x:c>
      <x:c r="F64" s="20" t="str">
        <x:v>0</x:v>
      </x:c>
      <x:c r="G64" s="20" t="str">
        <x:v>0</x:v>
      </x:c>
      <x:c r="H64" s="20" t="str">
        <x:v>1</x:v>
      </x:c>
    </x:row>
    <x:row r="65">
      <x:c r="A65" s="20" t="str">
        <x:v>romanov2018_lessons_natural_language</x:v>
      </x:c>
      <x:c r="B65" s="20" t="str">
        <x:v>2018</x:v>
      </x:c>
      <x:c r="C65" s="20" t="str">
        <x:v>Lessons from Natural Language Inference in the Clinical Domain</x:v>
      </x:c>
      <x:c r="D65" s="20" t="str">
        <x:v>07_Medical_NLI</x:v>
      </x:c>
      <x:c r="E65" s="20" t="str">
        <x:v>0</x:v>
      </x:c>
      <x:c r="F65" s="20" t="str">
        <x:v>0</x:v>
      </x:c>
      <x:c r="G65" s="20" t="str">
        <x:v>0</x:v>
      </x:c>
      <x:c r="H65" s="20" t="str">
        <x:v>1</x:v>
      </x:c>
    </x:row>
    <x:row r="66">
      <x:c r="A66" s="20" t="str">
        <x:v>conneau2018_xnli_evaluating_cross</x:v>
      </x:c>
      <x:c r="B66" s="20" t="str">
        <x:v>2018</x:v>
      </x:c>
      <x:c r="C66" s="20" t="str">
        <x:v>XNLI: Evaluating Cross-lingual Sentence Representations</x:v>
      </x:c>
      <x:c r="D66" s="20" t="str">
        <x:v>07_Medical_NLI</x:v>
      </x:c>
      <x:c r="E66" s="20" t="str">
        <x:v>0</x:v>
      </x:c>
      <x:c r="F66" s="20" t="str">
        <x:v>0</x:v>
      </x:c>
      <x:c r="G66" s="20" t="str">
        <x:v>1</x:v>
      </x:c>
      <x:c r="H66" s="20" t="str">
        <x:v>0</x:v>
      </x:c>
    </x:row>
    <x:row r="67">
      <x:c r="A67" s="20" t="str">
        <x:v>aggarwal2022_indicxnli_evaluating_multilingual</x:v>
      </x:c>
      <x:c r="B67" s="20" t="str">
        <x:v>2022</x:v>
      </x:c>
      <x:c r="C67" s="20" t="str">
        <x:v>IndicXNLI: Evaluating Multilingual Inference for Indian Languages</x:v>
      </x:c>
      <x:c r="D67" s="20" t="str">
        <x:v>07_Medical_NLI</x:v>
      </x:c>
      <x:c r="E67" s="20" t="str">
        <x:v>1</x:v>
      </x:c>
      <x:c r="F67" s="20" t="str">
        <x:v>0</x:v>
      </x:c>
      <x:c r="G67" s="20" t="str">
        <x:v>0</x:v>
      </x:c>
      <x:c r="H67" s="20" t="str">
        <x:v>0</x:v>
      </x:c>
    </x:row>
    <x:row r="68">
      <x:c r="A68" s="20" t="str">
        <x:v>bowman2015_annotated_learning_natural</x:v>
      </x:c>
      <x:c r="B68" s="20" t="str">
        <x:v>2015</x:v>
      </x:c>
      <x:c r="C68" s="20" t="str">
        <x:v>A Large Annotated Corpus for Learning Natural Language Inference</x:v>
      </x:c>
      <x:c r="D68" s="20" t="str">
        <x:v>07_Medical_NLI</x:v>
      </x:c>
      <x:c r="E68" s="20" t="str">
        <x:v>0</x:v>
      </x:c>
      <x:c r="F68" s="20" t="str">
        <x:v>0</x:v>
      </x:c>
      <x:c r="G68" s="20" t="str">
        <x:v>0</x:v>
      </x:c>
      <x:c r="H68" s="20" t="str">
        <x:v>1</x:v>
      </x:c>
    </x:row>
    <x:row r="69">
      <x:c r="A69" s="20" t="str">
        <x:v>williams2018_broad_coverage_challenge</x:v>
      </x:c>
      <x:c r="B69" s="20" t="str">
        <x:v>2018</x:v>
      </x:c>
      <x:c r="C69" s="20" t="str">
        <x:v>A Broad-Coverage Challenge Corpus for Sentence Understanding through Inference</x:v>
      </x:c>
      <x:c r="D69" s="20" t="str">
        <x:v>07_Medical_NLI</x:v>
      </x:c>
      <x:c r="E69" s="20" t="str">
        <x:v>0</x:v>
      </x:c>
      <x:c r="F69" s="20" t="str">
        <x:v>0</x:v>
      </x:c>
      <x:c r="G69" s="20" t="str">
        <x:v>0</x:v>
      </x:c>
      <x:c r="H69" s="20" t="str">
        <x:v>1</x:v>
      </x:c>
    </x:row>
    <x:row r="70">
      <x:c r="A70" s="20" t="str">
        <x:v>herlihy2021_mednli_not_immune</x:v>
      </x:c>
      <x:c r="B70" s="20" t="str">
        <x:v>2021</x:v>
      </x:c>
      <x:c r="C70" s="20" t="str">
        <x:v>MedNLI Is Not Immune: Natural Language Inference Artifacts in the Clinical Domain</x:v>
      </x:c>
      <x:c r="D70" s="20" t="str">
        <x:v>07_Medical_NLI</x:v>
      </x:c>
      <x:c r="E70" s="20" t="str">
        <x:v>0</x:v>
      </x:c>
      <x:c r="F70" s="20" t="str">
        <x:v>0</x:v>
      </x:c>
      <x:c r="G70" s="20" t="str">
        <x:v>0</x:v>
      </x:c>
      <x:c r="H70" s="20" t="str">
        <x:v>1</x:v>
      </x:c>
    </x:row>
    <x:row r="71">
      <x:c r="A71" s="20" t="str">
        <x:v>oul2025_turkmednli_turkish_medical</x:v>
      </x:c>
      <x:c r="B71" s="20" t="str">
        <x:v>2025</x:v>
      </x:c>
      <x:c r="C71" s="20" t="str">
        <x:v>TurkMedNLI: A Turkish Medical Natural Language Inference Dataset</x:v>
      </x:c>
      <x:c r="D71" s="20" t="str">
        <x:v>07_Medical_NLI</x:v>
      </x:c>
      <x:c r="E71" s="20" t="str">
        <x:v>0</x:v>
      </x:c>
      <x:c r="F71" s="20" t="str">
        <x:v>1</x:v>
      </x:c>
      <x:c r="G71" s="20" t="str">
        <x:v>0</x:v>
      </x:c>
      <x:c r="H71" s="20" t="str">
        <x:v>0</x:v>
      </x:c>
    </x:row>
    <x:row r="72">
      <x:c r="A72" s="20" t="str">
        <x:v>chaban2024_enhancing_medical_nli</x:v>
      </x:c>
      <x:c r="B72" s="20" t="str">
        <x:v>2024</x:v>
      </x:c>
      <x:c r="C72" s="20" t="str">
        <x:v>Enhancing Medical NLI with Integrated Domain Knowledge</x:v>
      </x:c>
      <x:c r="D72" s="20" t="str">
        <x:v>07_Medical_NLI</x:v>
      </x:c>
      <x:c r="E72" s="20" t="str">
        <x:v>0</x:v>
      </x:c>
      <x:c r="F72" s="20" t="str">
        <x:v>0</x:v>
      </x:c>
      <x:c r="G72" s="20" t="str">
        <x:v>0</x:v>
      </x:c>
      <x:c r="H72" s="20" t="str">
        <x:v>1</x:v>
      </x:c>
    </x:row>
    <x:row r="73">
      <x:c r="A73" s="20" t="str">
        <x:v>wadden2020_fact_or_fiction</x:v>
      </x:c>
      <x:c r="B73" s="20" t="str">
        <x:v>2020</x:v>
      </x:c>
      <x:c r="C73" s="20" t="str">
        <x:v>Fact or Fiction: Verifying Scientific Claims</x:v>
      </x:c>
      <x:c r="D73" s="20" t="str">
        <x:v>07_Medical_NLI</x:v>
      </x:c>
      <x:c r="E73" s="20" t="str">
        <x:v>0</x:v>
      </x:c>
      <x:c r="F73" s="20" t="str">
        <x:v>0</x:v>
      </x:c>
      <x:c r="G73" s="20" t="str">
        <x:v>0</x:v>
      </x:c>
      <x:c r="H73" s="20" t="str">
        <x:v>1</x:v>
      </x:c>
    </x:row>
    <x:row r="74">
      <x:c r="A74" s="20" t="str">
        <x:v>saakyan2021_covid_fact_fact</x:v>
      </x:c>
      <x:c r="B74" s="20" t="str">
        <x:v>2021</x:v>
      </x:c>
      <x:c r="C74" s="20" t="str">
        <x:v>COVID-Fact: Fact Extraction and Verification of Real-World Claims on COVID-19 Pandemic</x:v>
      </x:c>
      <x:c r="D74" s="20" t="str">
        <x:v>07_Medical_NLI</x:v>
      </x:c>
      <x:c r="E74" s="20" t="str">
        <x:v>0</x:v>
      </x:c>
      <x:c r="F74" s="20" t="str">
        <x:v>0</x:v>
      </x:c>
      <x:c r="G74" s="20" t="str">
        <x:v>0</x:v>
      </x:c>
      <x:c r="H74" s="20" t="str">
        <x:v>1</x:v>
      </x:c>
    </x:row>
    <x:row r="75">
      <x:c r="A75" s="20" t="str">
        <x:v>kotonya2020_explainable_fact_checking</x:v>
      </x:c>
      <x:c r="B75" s="20" t="str">
        <x:v>2020</x:v>
      </x:c>
      <x:c r="C75" s="20" t="str">
        <x:v>Explainable Automated Fact-Checking for Public Health Claims</x:v>
      </x:c>
      <x:c r="D75" s="20" t="str">
        <x:v>07_Medical_NLI</x:v>
      </x:c>
      <x:c r="E75" s="20" t="str">
        <x:v>0</x:v>
      </x:c>
      <x:c r="F75" s="20" t="str">
        <x:v>0</x:v>
      </x:c>
      <x:c r="G75" s="20" t="str">
        <x:v>0</x:v>
      </x:c>
      <x:c r="H75" s="20" t="str">
        <x:v>1</x:v>
      </x:c>
    </x:row>
    <x:row r="76">
      <x:c r="A76" s="20" t="str">
        <x:v>thorne2018_fever_fact_extraction</x:v>
      </x:c>
      <x:c r="B76" s="20" t="str">
        <x:v>2018</x:v>
      </x:c>
      <x:c r="C76" s="20" t="str">
        <x:v>FEVER: A Large-scale Dataset for Fact Extraction and VERification</x:v>
      </x:c>
      <x:c r="D76" s="20" t="str">
        <x:v>07_Medical_NLI</x:v>
      </x:c>
      <x:c r="E76" s="20" t="str">
        <x:v>0</x:v>
      </x:c>
      <x:c r="F76" s="20" t="str">
        <x:v>0</x:v>
      </x:c>
      <x:c r="G76" s="20" t="str">
        <x:v>0</x:v>
      </x:c>
      <x:c r="H76" s="20" t="str">
        <x:v>1</x:v>
      </x:c>
    </x:row>
    <x:row r="77">
      <x:c r="A77" s="20" t="str">
        <x:v>nie2019_combining_fact_extraction</x:v>
      </x:c>
      <x:c r="B77" s="20" t="str">
        <x:v>2019</x:v>
      </x:c>
      <x:c r="C77" s="20" t="str">
        <x:v>Combining Fact Extraction and Verification with Neural Semantic Matching Networks</x:v>
      </x:c>
      <x:c r="D77" s="20" t="str">
        <x:v>07_Medical_NLI</x:v>
      </x:c>
      <x:c r="E77" s="20" t="str">
        <x:v>0</x:v>
      </x:c>
      <x:c r="F77" s="20" t="str">
        <x:v>0</x:v>
      </x:c>
      <x:c r="G77" s="20" t="str">
        <x:v>0</x:v>
      </x:c>
      <x:c r="H77" s="20" t="str">
        <x:v>1</x:v>
      </x:c>
    </x:row>
    <x:row r="78">
      <x:c r="A78" s="20" t="str">
        <x:v>schuster2021_get_your_vitamin</x:v>
      </x:c>
      <x:c r="B78" s="20" t="str">
        <x:v>2021</x:v>
      </x:c>
      <x:c r="C78" s="20" t="str">
        <x:v>Get Your Vitamin C! Robust Fact Verification with Contrastive Evidence</x:v>
      </x:c>
      <x:c r="D78" s="20" t="str">
        <x:v>07_Medical_NLI</x:v>
      </x:c>
      <x:c r="E78" s="20" t="str">
        <x:v>0</x:v>
      </x:c>
      <x:c r="F78" s="20" t="str">
        <x:v>0</x:v>
      </x:c>
      <x:c r="G78" s="20" t="str">
        <x:v>0</x:v>
      </x:c>
      <x:c r="H78" s="20" t="str">
        <x:v>1</x:v>
      </x:c>
    </x:row>
    <x:row r="79">
      <x:c r="A79" s="20" t="str">
        <x:v>zetsu2024_edit_constrained_decoding</x:v>
      </x:c>
      <x:c r="B79" s="20" t="str">
        <x:v>2024</x:v>
      </x:c>
      <x:c r="C79" s="20" t="str">
        <x:v>Edit-Constrained Decoding for Sentence Simplification</x:v>
      </x:c>
      <x:c r="D79" s="20" t="str">
        <x:v>05_Constrained_Decoding</x:v>
      </x:c>
      <x:c r="E79" s="20" t="str">
        <x:v>0</x:v>
      </x:c>
      <x:c r="F79" s="20" t="str">
        <x:v>0</x:v>
      </x:c>
      <x:c r="G79" s="20" t="str">
        <x:v>0</x:v>
      </x:c>
      <x:c r="H79" s="20" t="str">
        <x:v>1</x:v>
      </x:c>
    </x:row>
    <x:row r="80">
      <x:c r="A80" s="20" t="str">
        <x:v>hokamp2017_lexically_constrained_decoding</x:v>
      </x:c>
      <x:c r="B80" s="20" t="str">
        <x:v>2017</x:v>
      </x:c>
      <x:c r="C80" s="20" t="str">
        <x:v>Lexically Constrained Decoding for Sequence Generation Using Grid Beam Search</x:v>
      </x:c>
      <x:c r="D80" s="20" t="str">
        <x:v>05_Constrained_Decoding</x:v>
      </x:c>
      <x:c r="E80" s="20" t="str">
        <x:v>0</x:v>
      </x:c>
      <x:c r="F80" s="20" t="str">
        <x:v>0</x:v>
      </x:c>
      <x:c r="G80" s="20" t="str">
        <x:v>0</x:v>
      </x:c>
      <x:c r="H80" s="20" t="str">
        <x:v>1</x:v>
      </x:c>
    </x:row>
    <x:row r="81">
      <x:c r="A81" s="20" t="str">
        <x:v>post2018_fast_lexically_constrained</x:v>
      </x:c>
      <x:c r="B81" s="20" t="str">
        <x:v>2018</x:v>
      </x:c>
      <x:c r="C81" s="20" t="str">
        <x:v>Fast Lexically Constrained Decoding with Dynamic Beam Allocation for Neural Machine Translation</x:v>
      </x:c>
      <x:c r="D81" s="20" t="str">
        <x:v>05_Constrained_Decoding</x:v>
      </x:c>
      <x:c r="E81" s="20" t="str">
        <x:v>0</x:v>
      </x:c>
      <x:c r="F81" s="20" t="str">
        <x:v>0</x:v>
      </x:c>
      <x:c r="G81" s="20" t="str">
        <x:v>0</x:v>
      </x:c>
      <x:c r="H81" s="20" t="str">
        <x:v>1</x:v>
      </x:c>
    </x:row>
    <x:row r="82">
      <x:c r="A82" s="20" t="str">
        <x:v>anderson2017_guided_open_vocabulary</x:v>
      </x:c>
      <x:c r="B82" s="20" t="str">
        <x:v>2017</x:v>
      </x:c>
      <x:c r="C82" s="20" t="str">
        <x:v>Guided Open Vocabulary Image Captioning with Constrained Beam Search</x:v>
      </x:c>
      <x:c r="D82" s="20" t="str">
        <x:v>05_Constrained_Decoding</x:v>
      </x:c>
      <x:c r="E82" s="20" t="str">
        <x:v>0</x:v>
      </x:c>
      <x:c r="F82" s="20" t="str">
        <x:v>0</x:v>
      </x:c>
      <x:c r="G82" s="20" t="str">
        <x:v>0</x:v>
      </x:c>
      <x:c r="H82" s="20" t="str">
        <x:v>1</x:v>
      </x:c>
    </x:row>
    <x:row r="83">
      <x:c r="A83" s="20" t="str">
        <x:v>lu2021_neurologic_decoding_un</x:v>
      </x:c>
      <x:c r="B83" s="20" t="str">
        <x:v>2021</x:v>
      </x:c>
      <x:c r="C83" s="20" t="str">
        <x:v>Neurologic Decoding: (Un)supervised Neural Text Generation with Predicate Logic Constraints</x:v>
      </x:c>
      <x:c r="D83" s="20" t="str">
        <x:v>05_Constrained_Decoding</x:v>
      </x:c>
      <x:c r="E83" s="20" t="str">
        <x:v>0</x:v>
      </x:c>
      <x:c r="F83" s="20" t="str">
        <x:v>0</x:v>
      </x:c>
      <x:c r="G83" s="20" t="str">
        <x:v>0</x:v>
      </x:c>
      <x:c r="H83" s="20" t="str">
        <x:v>1</x:v>
      </x:c>
    </x:row>
    <x:row r="84">
      <x:c r="A84" s="20" t="str">
        <x:v>welleck2020_neural_text_generation</x:v>
      </x:c>
      <x:c r="B84" s="20" t="str">
        <x:v>2020</x:v>
      </x:c>
      <x:c r="C84" s="20" t="str">
        <x:v>Neural Text Generation with Unlikelihood Training</x:v>
      </x:c>
      <x:c r="D84" s="20" t="str">
        <x:v>05_Constrained_Decoding</x:v>
      </x:c>
      <x:c r="E84" s="20" t="str">
        <x:v>0</x:v>
      </x:c>
      <x:c r="F84" s="20" t="str">
        <x:v>0</x:v>
      </x:c>
      <x:c r="G84" s="20" t="str">
        <x:v>0</x:v>
      </x:c>
      <x:c r="H84" s="20" t="str">
        <x:v>1</x:v>
      </x:c>
    </x:row>
    <x:row r="85">
      <x:c r="A85" s="20" t="str">
        <x:v>pascual2021_plug_play_controlled</x:v>
      </x:c>
      <x:c r="B85" s="20" t="str">
        <x:v>2021</x:v>
      </x:c>
      <x:c r="C85" s="20" t="str">
        <x:v>A Plug-and-Play Method for Controlled Text Generation</x:v>
      </x:c>
      <x:c r="D85" s="20" t="str">
        <x:v>05_Constrained_Decoding</x:v>
      </x:c>
      <x:c r="E85" s="20" t="str">
        <x:v>0</x:v>
      </x:c>
      <x:c r="F85" s="20" t="str">
        <x:v>0</x:v>
      </x:c>
      <x:c r="G85" s="20" t="str">
        <x:v>0</x:v>
      </x:c>
      <x:c r="H85" s="20" t="str">
        <x:v>1</x:v>
      </x:c>
    </x:row>
    <x:row r="86">
      <x:c r="A86" s="20" t="str">
        <x:v>dathathri2020_plug_play_language</x:v>
      </x:c>
      <x:c r="B86" s="20" t="str">
        <x:v>2020</x:v>
      </x:c>
      <x:c r="C86" s="20" t="str">
        <x:v>Plug and Play Language Models: A Simple Approach to Controlled Text Generation</x:v>
      </x:c>
      <x:c r="D86" s="20" t="str">
        <x:v>05_Constrained_Decoding</x:v>
      </x:c>
      <x:c r="E86" s="20" t="str">
        <x:v>0</x:v>
      </x:c>
      <x:c r="F86" s="20" t="str">
        <x:v>0</x:v>
      </x:c>
      <x:c r="G86" s="20" t="str">
        <x:v>0</x:v>
      </x:c>
      <x:c r="H86" s="20" t="str">
        <x:v>1</x:v>
      </x:c>
    </x:row>
    <x:row r="87">
      <x:c r="A87" s="20" t="str">
        <x:v>krause2021_gedi_generative_discriminator</x:v>
      </x:c>
      <x:c r="B87" s="20" t="str">
        <x:v>2021</x:v>
      </x:c>
      <x:c r="C87" s="20" t="str">
        <x:v>GeDi: Generative Discriminator Guided Sequence Generation</x:v>
      </x:c>
      <x:c r="D87" s="20" t="str">
        <x:v>05_Constrained_Decoding</x:v>
      </x:c>
      <x:c r="E87" s="20" t="str">
        <x:v>0</x:v>
      </x:c>
      <x:c r="F87" s="20" t="str">
        <x:v>0</x:v>
      </x:c>
      <x:c r="G87" s="20" t="str">
        <x:v>0</x:v>
      </x:c>
      <x:c r="H87" s="20" t="str">
        <x:v>1</x:v>
      </x:c>
    </x:row>
    <x:row r="88">
      <x:c r="A88" s="20" t="str">
        <x:v>shin2020_autoprompt_eliciting_knowledge</x:v>
      </x:c>
      <x:c r="B88" s="20" t="str">
        <x:v>2020</x:v>
      </x:c>
      <x:c r="C88" s="20" t="str">
        <x:v>AutoPrompt: Eliciting Knowledge from Language Models with Automatically Generated Prompts</x:v>
      </x:c>
      <x:c r="D88" s="20" t="str">
        <x:v>05_Constrained_Decoding</x:v>
      </x:c>
      <x:c r="E88" s="20" t="str">
        <x:v>0</x:v>
      </x:c>
      <x:c r="F88" s="20" t="str">
        <x:v>0</x:v>
      </x:c>
      <x:c r="G88" s="20" t="str">
        <x:v>0</x:v>
      </x:c>
      <x:c r="H88" s="20" t="str">
        <x:v>1</x:v>
      </x:c>
    </x:row>
    <x:row r="89">
      <x:c r="A89" s="20" t="str">
        <x:v>hu2017_controlled_generation_text</x:v>
      </x:c>
      <x:c r="B89" s="20" t="str">
        <x:v>2017</x:v>
      </x:c>
      <x:c r="C89" s="20" t="str">
        <x:v>Toward Controlled Generation of Text</x:v>
      </x:c>
      <x:c r="D89" s="20" t="str">
        <x:v>05_Constrained_Decoding</x:v>
      </x:c>
      <x:c r="E89" s="20" t="str">
        <x:v>0</x:v>
      </x:c>
      <x:c r="F89" s="20" t="str">
        <x:v>0</x:v>
      </x:c>
      <x:c r="G89" s="20" t="str">
        <x:v>0</x:v>
      </x:c>
      <x:c r="H89" s="20" t="str">
        <x:v>1</x:v>
      </x:c>
    </x:row>
    <x:row r="90">
      <x:c r="A90" s="20" t="str">
        <x:v>kumar2020_controlled_text_generation</x:v>
      </x:c>
      <x:c r="B90" s="20" t="str">
        <x:v>2020</x:v>
      </x:c>
      <x:c r="C90" s="20" t="str">
        <x:v>Controlled Text Generation as Continuous Optimization with Multiple Constraints</x:v>
      </x:c>
      <x:c r="D90" s="20" t="str">
        <x:v>05_Constrained_Decoding</x:v>
      </x:c>
      <x:c r="E90" s="20" t="str">
        <x:v>0</x:v>
      </x:c>
      <x:c r="F90" s="20" t="str">
        <x:v>0</x:v>
      </x:c>
      <x:c r="G90" s="20" t="str">
        <x:v>0</x:v>
      </x:c>
      <x:c r="H90" s="20" t="str">
        <x:v>1</x:v>
      </x:c>
    </x:row>
    <x:row r="91">
      <x:c r="A91" s="20" t="str">
        <x:v>lewis2020_retrieval_augmented_generation</x:v>
      </x:c>
      <x:c r="B91" s="20" t="str">
        <x:v>2020</x:v>
      </x:c>
      <x:c r="C91" s="20" t="str">
        <x:v>Retrieval-Augmented Generation for Knowledge-Intensive NLP Tasks</x:v>
      </x:c>
      <x:c r="D91" s="20" t="str">
        <x:v>06_RAG_KG_Medical</x:v>
      </x:c>
      <x:c r="E91" s="20" t="str">
        <x:v>0</x:v>
      </x:c>
      <x:c r="F91" s="20" t="str">
        <x:v>0</x:v>
      </x:c>
      <x:c r="G91" s="20" t="str">
        <x:v>0</x:v>
      </x:c>
      <x:c r="H91" s="20" t="str">
        <x:v>1</x:v>
      </x:c>
    </x:row>
    <x:row r="92">
      <x:c r="A92" s="20" t="str">
        <x:v>guu2020_realm_retrieval_augmented</x:v>
      </x:c>
      <x:c r="B92" s="20" t="str">
        <x:v>2020</x:v>
      </x:c>
      <x:c r="C92" s="20" t="str">
        <x:v>REALM: Retrieval-Augmented Language Model Pre-Training</x:v>
      </x:c>
      <x:c r="D92" s="20" t="str">
        <x:v>06_RAG_KG_Medical</x:v>
      </x:c>
      <x:c r="E92" s="20" t="str">
        <x:v>0</x:v>
      </x:c>
      <x:c r="F92" s="20" t="str">
        <x:v>0</x:v>
      </x:c>
      <x:c r="G92" s="20" t="str">
        <x:v>0</x:v>
      </x:c>
      <x:c r="H92" s="20" t="str">
        <x:v>1</x:v>
      </x:c>
    </x:row>
    <x:row r="93">
      <x:c r="A93" s="20" t="str">
        <x:v>karpukhin2020_dense_passage_retrieval</x:v>
      </x:c>
      <x:c r="B93" s="20" t="str">
        <x:v>2020</x:v>
      </x:c>
      <x:c r="C93" s="20" t="str">
        <x:v>Dense Passage Retrieval for Open-Domain Question Answering</x:v>
      </x:c>
      <x:c r="D93" s="20" t="str">
        <x:v>06_RAG_KG_Medical</x:v>
      </x:c>
      <x:c r="E93" s="20" t="str">
        <x:v>0</x:v>
      </x:c>
      <x:c r="F93" s="20" t="str">
        <x:v>0</x:v>
      </x:c>
      <x:c r="G93" s="20" t="str">
        <x:v>0</x:v>
      </x:c>
      <x:c r="H93" s="20" t="str">
        <x:v>1</x:v>
      </x:c>
    </x:row>
    <x:row r="94">
      <x:c r="A94" s="20" t="str">
        <x:v>izacard2021_leveraging_passage_retrieval</x:v>
      </x:c>
      <x:c r="B94" s="20" t="str">
        <x:v>2021</x:v>
      </x:c>
      <x:c r="C94" s="20" t="str">
        <x:v>Leveraging Passage Retrieval with Generative Models for Open Domain Question Answering</x:v>
      </x:c>
      <x:c r="D94" s="20" t="str">
        <x:v>06_RAG_KG_Medical</x:v>
      </x:c>
      <x:c r="E94" s="20" t="str">
        <x:v>0</x:v>
      </x:c>
      <x:c r="F94" s="20" t="str">
        <x:v>0</x:v>
      </x:c>
      <x:c r="G94" s="20" t="str">
        <x:v>0</x:v>
      </x:c>
      <x:c r="H94" s="20" t="str">
        <x:v>1</x:v>
      </x:c>
    </x:row>
    <x:row r="95">
      <x:c r="A95" s="20" t="str">
        <x:v>asai2024_self_rag_learning</x:v>
      </x:c>
      <x:c r="B95" s="20" t="str">
        <x:v>2024</x:v>
      </x:c>
      <x:c r="C95" s="20" t="str">
        <x:v>Self-RAG: Learning to Retrieve, Generate, and Critique through Self-Reflection</x:v>
      </x:c>
      <x:c r="D95" s="20" t="str">
        <x:v>06_RAG_KG_Medical</x:v>
      </x:c>
      <x:c r="E95" s="20" t="str">
        <x:v>0</x:v>
      </x:c>
      <x:c r="F95" s="20" t="str">
        <x:v>0</x:v>
      </x:c>
      <x:c r="G95" s="20" t="str">
        <x:v>0</x:v>
      </x:c>
      <x:c r="H95" s="20" t="str">
        <x:v>1</x:v>
      </x:c>
    </x:row>
    <x:row r="96">
      <x:c r="A96" s="20" t="str">
        <x:v>gao2024_retrieval_augmented_generation</x:v>
      </x:c>
      <x:c r="B96" s="20" t="str">
        <x:v>2024</x:v>
      </x:c>
      <x:c r="C96" s="20" t="str">
        <x:v>Retrieval-Augmented Generation for Large Language Models: A Survey</x:v>
      </x:c>
      <x:c r="D96" s="20" t="str">
        <x:v>06_RAG_KG_Medical</x:v>
      </x:c>
      <x:c r="E96" s="20" t="str">
        <x:v>0</x:v>
      </x:c>
      <x:c r="F96" s="20" t="str">
        <x:v>0</x:v>
      </x:c>
      <x:c r="G96" s="20" t="str">
        <x:v>0</x:v>
      </x:c>
      <x:c r="H96" s="20" t="str">
        <x:v>1</x:v>
      </x:c>
    </x:row>
    <x:row r="97">
      <x:c r="A97" s="20" t="str">
        <x:v>edge2024_local_global_graph</x:v>
      </x:c>
      <x:c r="B97" s="20" t="str">
        <x:v>2024</x:v>
      </x:c>
      <x:c r="C97" s="20" t="str">
        <x:v>From Local to Global: A Graph RAG Approach to Query-Focused Summarization</x:v>
      </x:c>
      <x:c r="D97" s="20" t="str">
        <x:v>06_RAG_KG_Medical</x:v>
      </x:c>
      <x:c r="E97" s="20" t="str">
        <x:v>0</x:v>
      </x:c>
      <x:c r="F97" s="20" t="str">
        <x:v>0</x:v>
      </x:c>
      <x:c r="G97" s="20" t="str">
        <x:v>0</x:v>
      </x:c>
      <x:c r="H97" s="20" t="str">
        <x:v>1</x:v>
      </x:c>
    </x:row>
    <x:row r="98">
      <x:c r="A98" s="20" t="str">
        <x:v>xiong2024_benchmarking_retrieval_augmented</x:v>
      </x:c>
      <x:c r="B98" s="20" t="str">
        <x:v>2024</x:v>
      </x:c>
      <x:c r="C98" s="20" t="str">
        <x:v>Benchmarking Retrieval-Augmented Generation for Medicine</x:v>
      </x:c>
      <x:c r="D98" s="20" t="str">
        <x:v>06_RAG_KG_Medical</x:v>
      </x:c>
      <x:c r="E98" s="20" t="str">
        <x:v>0</x:v>
      </x:c>
      <x:c r="F98" s="20" t="str">
        <x:v>0</x:v>
      </x:c>
      <x:c r="G98" s="20" t="str">
        <x:v>0</x:v>
      </x:c>
      <x:c r="H98" s="20" t="str">
        <x:v>1</x:v>
      </x:c>
    </x:row>
    <x:row r="99">
      <x:c r="A99" s="20" t="str">
        <x:v>singhal2023_language_encode_clinical</x:v>
      </x:c>
      <x:c r="B99" s="20" t="str">
        <x:v>2023</x:v>
      </x:c>
      <x:c r="C99" s="20" t="str">
        <x:v>Large Language Models Encode Clinical Knowledge</x:v>
      </x:c>
      <x:c r="D99" s="20" t="str">
        <x:v>06_RAG_KG_Medical</x:v>
      </x:c>
      <x:c r="E99" s="20" t="str">
        <x:v>0</x:v>
      </x:c>
      <x:c r="F99" s="20" t="str">
        <x:v>0</x:v>
      </x:c>
      <x:c r="G99" s="20" t="str">
        <x:v>0</x:v>
      </x:c>
      <x:c r="H99" s="20" t="str">
        <x:v>1</x:v>
      </x:c>
    </x:row>
    <x:row r="100">
      <x:c r="A100" s="20" t="str">
        <x:v>singhal2025_expert_level_medical</x:v>
      </x:c>
      <x:c r="B100" s="20" t="str">
        <x:v>2025</x:v>
      </x:c>
      <x:c r="C100" s="20" t="str">
        <x:v>Toward Expert-Level Medical Question Answering with Large Language Models</x:v>
      </x:c>
      <x:c r="D100" s="20" t="str">
        <x:v>06_RAG_KG_Medical</x:v>
      </x:c>
      <x:c r="E100" s="20" t="str">
        <x:v>0</x:v>
      </x:c>
      <x:c r="F100" s="20" t="str">
        <x:v>0</x:v>
      </x:c>
      <x:c r="G100" s="20" t="str">
        <x:v>0</x:v>
      </x:c>
      <x:c r="H100" s="20" t="str">
        <x:v>1</x:v>
      </x:c>
    </x:row>
    <x:row r="101">
      <x:c r="A101" s="20" t="str">
        <x:v>jin2019_pubmedqa_biomedical_research</x:v>
      </x:c>
      <x:c r="B101" s="20" t="str">
        <x:v>2019</x:v>
      </x:c>
      <x:c r="C101" s="20" t="str">
        <x:v>PubMedQA: A Dataset for Biomedical Research Question Answering</x:v>
      </x:c>
      <x:c r="D101" s="20" t="str">
        <x:v>06_RAG_KG_Medical</x:v>
      </x:c>
      <x:c r="E101" s="20" t="str">
        <x:v>0</x:v>
      </x:c>
      <x:c r="F101" s="20" t="str">
        <x:v>0</x:v>
      </x:c>
      <x:c r="G101" s="20" t="str">
        <x:v>0</x:v>
      </x:c>
      <x:c r="H101" s="20" t="str">
        <x:v>1</x:v>
      </x:c>
    </x:row>
    <x:row r="102">
      <x:c r="A102" s="20" t="str">
        <x:v>luo2022_biogpt_generative_pre</x:v>
      </x:c>
      <x:c r="B102" s="20" t="str">
        <x:v>2022</x:v>
      </x:c>
      <x:c r="C102" s="20" t="str">
        <x:v>BioGPT: Generative Pre-trained Transformer for Biomedical Text Generation and Mining</x:v>
      </x:c>
      <x:c r="D102" s="20" t="str">
        <x:v>06_RAG_KG_Medical</x:v>
      </x:c>
      <x:c r="E102" s="20" t="str">
        <x:v>0</x:v>
      </x:c>
      <x:c r="F102" s="20" t="str">
        <x:v>0</x:v>
      </x:c>
      <x:c r="G102" s="20" t="str">
        <x:v>0</x:v>
      </x:c>
      <x:c r="H102" s="20" t="str">
        <x:v>1</x:v>
      </x:c>
    </x:row>
    <x:row r="103">
      <x:c r="A103" s="20" t="str">
        <x:v>lee2020_biobert_pre_trained</x:v>
      </x:c>
      <x:c r="B103" s="20" t="str">
        <x:v>2020</x:v>
      </x:c>
      <x:c r="C103" s="20" t="str">
        <x:v>BioBERT: A Pre-trained Biomedical Language Representation Model for Biomedical Text Mining</x:v>
      </x:c>
      <x:c r="D103" s="20" t="str">
        <x:v>06_RAG_KG_Medical</x:v>
      </x:c>
      <x:c r="E103" s="20" t="str">
        <x:v>0</x:v>
      </x:c>
      <x:c r="F103" s="20" t="str">
        <x:v>0</x:v>
      </x:c>
      <x:c r="G103" s="20" t="str">
        <x:v>0</x:v>
      </x:c>
      <x:c r="H103" s="20" t="str">
        <x:v>1</x:v>
      </x:c>
    </x:row>
    <x:row r="104">
      <x:c r="A104" s="20" t="str">
        <x:v>alsentzer2019_publicly_available_clinical</x:v>
      </x:c>
      <x:c r="B104" s="20" t="str">
        <x:v>2019</x:v>
      </x:c>
      <x:c r="C104" s="20" t="str">
        <x:v>Publicly Available Clinical BERT Embeddings</x:v>
      </x:c>
      <x:c r="D104" s="20" t="str">
        <x:v>06_RAG_KG_Medical</x:v>
      </x:c>
      <x:c r="E104" s="20" t="str">
        <x:v>0</x:v>
      </x:c>
      <x:c r="F104" s="20" t="str">
        <x:v>0</x:v>
      </x:c>
      <x:c r="G104" s="20" t="str">
        <x:v>0</x:v>
      </x:c>
      <x:c r="H104" s="20" t="str">
        <x:v>1</x:v>
      </x:c>
    </x:row>
    <x:row r="105">
      <x:c r="A105" s="20" t="str">
        <x:v>peng2019_transfer_learning_biomedical</x:v>
      </x:c>
      <x:c r="B105" s="20" t="str">
        <x:v>2019</x:v>
      </x:c>
      <x:c r="C105" s="20" t="str">
        <x:v>Transfer Learning in Biomedical Natural Language Processing: An Evaluation of BERT and ELMo on Ten Benchmarking Datasets</x:v>
      </x:c>
      <x:c r="D105" s="20" t="str">
        <x:v>06_RAG_KG_Medical</x:v>
      </x:c>
      <x:c r="E105" s="20" t="str">
        <x:v>0</x:v>
      </x:c>
      <x:c r="F105" s="20" t="str">
        <x:v>0</x:v>
      </x:c>
      <x:c r="G105" s="20" t="str">
        <x:v>0</x:v>
      </x:c>
      <x:c r="H105" s="20" t="str">
        <x:v>1</x:v>
      </x:c>
    </x:row>
    <x:row r="106">
      <x:c r="A106" s="20" t="str">
        <x:v>bodenreider2004_unified_medical_language</x:v>
      </x:c>
      <x:c r="B106" s="20" t="str">
        <x:v>2004</x:v>
      </x:c>
      <x:c r="C106" s="20" t="str">
        <x:v>The Unified Medical Language System (UMLS): Integrating Biomedical Terminology</x:v>
      </x:c>
      <x:c r="D106" s="20" t="str">
        <x:v>06_RAG_KG_Medical</x:v>
      </x:c>
      <x:c r="E106" s="20" t="str">
        <x:v>0</x:v>
      </x:c>
      <x:c r="F106" s="20" t="str">
        <x:v>0</x:v>
      </x:c>
      <x:c r="G106" s="20" t="str">
        <x:v>0</x:v>
      </x:c>
      <x:c r="H106" s="20" t="str">
        <x:v>1</x:v>
      </x:c>
    </x:row>
    <x:row r="107">
      <x:c r="A107" s="20" t="str">
        <x:v>lindberg1993_unified_medical_language</x:v>
      </x:c>
      <x:c r="B107" s="20" t="str">
        <x:v>1993</x:v>
      </x:c>
      <x:c r="C107" s="20" t="str">
        <x:v>The Unified Medical Language System</x:v>
      </x:c>
      <x:c r="D107" s="20" t="str">
        <x:v>06_RAG_KG_Medical</x:v>
      </x:c>
      <x:c r="E107" s="20" t="str">
        <x:v>0</x:v>
      </x:c>
      <x:c r="F107" s="20" t="str">
        <x:v>0</x:v>
      </x:c>
      <x:c r="G107" s="20" t="str">
        <x:v>0</x:v>
      </x:c>
      <x:c r="H107" s="20" t="str">
        <x:v>1</x:v>
      </x:c>
    </x:row>
    <x:row r="108">
      <x:c r="A108" s="20" t="str">
        <x:v>zeng2006_exploring_developing_consumer</x:v>
      </x:c>
      <x:c r="B108" s="20" t="str">
        <x:v>2006</x:v>
      </x:c>
      <x:c r="C108" s="20" t="str">
        <x:v>Exploring and Developing Consumer Health Vocabularies</x:v>
      </x:c>
      <x:c r="D108" s="20" t="str">
        <x:v>06_RAG_KG_Medical</x:v>
      </x:c>
      <x:c r="E108" s="20" t="str">
        <x:v>0</x:v>
      </x:c>
      <x:c r="F108" s="20" t="str">
        <x:v>0</x:v>
      </x:c>
      <x:c r="G108" s="20" t="str">
        <x:v>0</x:v>
      </x:c>
      <x:c r="H108" s="20" t="str">
        <x:v>1</x:v>
      </x:c>
    </x:row>
    <x:row r="109">
      <x:c r="A109" s="20" t="str">
        <x:v>saggion2017_text_simplification</x:v>
      </x:c>
      <x:c r="B109" s="20" t="str">
        <x:v>2017</x:v>
      </x:c>
      <x:c r="C109" s="20" t="str">
        <x:v>Automatic Text Simplification</x:v>
      </x:c>
      <x:c r="D109" s="20" t="str">
        <x:v>02_Adjacent_Multilingual_TS</x:v>
      </x:c>
      <x:c r="E109" s="20" t="str">
        <x:v>0</x:v>
      </x:c>
      <x:c r="F109" s="20" t="str">
        <x:v>0</x:v>
      </x:c>
      <x:c r="G109" s="20" t="str">
        <x:v>0</x:v>
      </x:c>
      <x:c r="H109" s="20" t="str">
        <x:v>1</x:v>
      </x:c>
    </x:row>
    <x:row r="110">
      <x:c r="A110" s="20" t="str">
        <x:v>alvamanchego2020_easse_easier_sentence</x:v>
      </x:c>
      <x:c r="B110" s="20" t="str">
        <x:v>2020</x:v>
      </x:c>
      <x:c r="C110" s="20" t="str">
        <x:v>EASSE: Easier Automatic Sentence Simplification Evaluation</x:v>
      </x:c>
      <x:c r="D110" s="20" t="str">
        <x:v>02_Adjacent_Multilingual_TS</x:v>
      </x:c>
      <x:c r="E110" s="20" t="str">
        <x:v>0</x:v>
      </x:c>
      <x:c r="F110" s="20" t="str">
        <x:v>0</x:v>
      </x:c>
      <x:c r="G110" s="20" t="str">
        <x:v>0</x:v>
      </x:c>
      <x:c r="H110" s="20" t="str">
        <x:v>1</x:v>
      </x:c>
    </x:row>
    <x:row r="111">
      <x:c r="A111" s="20" t="str">
        <x:v>xu2016_optimizing_statistical_machine</x:v>
      </x:c>
      <x:c r="B111" s="20" t="str">
        <x:v>2016</x:v>
      </x:c>
      <x:c r="C111" s="20" t="str">
        <x:v>Optimizing Statistical Machine Translation for Text Simplification</x:v>
      </x:c>
      <x:c r="D111" s="20" t="str">
        <x:v>02_Adjacent_Multilingual_TS</x:v>
      </x:c>
      <x:c r="E111" s="20" t="str">
        <x:v>0</x:v>
      </x:c>
      <x:c r="F111" s="20" t="str">
        <x:v>0</x:v>
      </x:c>
      <x:c r="G111" s="20" t="str">
        <x:v>0</x:v>
      </x:c>
      <x:c r="H111" s="20" t="str">
        <x:v>1</x:v>
      </x:c>
    </x:row>
    <x:row r="112">
      <x:c r="A112" s="20" t="str">
        <x:v>zhang2017_sentence_simplification_deep</x:v>
      </x:c>
      <x:c r="B112" s="20" t="str">
        <x:v>2017</x:v>
      </x:c>
      <x:c r="C112" s="20" t="str">
        <x:v>Sentence Simplification with Deep Reinforcement Learning</x:v>
      </x:c>
      <x:c r="D112" s="20" t="str">
        <x:v>02_Adjacent_Multilingual_TS</x:v>
      </x:c>
      <x:c r="E112" s="20" t="str">
        <x:v>0</x:v>
      </x:c>
      <x:c r="F112" s="20" t="str">
        <x:v>0</x:v>
      </x:c>
      <x:c r="G112" s="20" t="str">
        <x:v>0</x:v>
      </x:c>
      <x:c r="H112" s="20" t="str">
        <x:v>1</x:v>
      </x:c>
    </x:row>
    <x:row r="113">
      <x:c r="A113" s="20" t="str">
        <x:v>nisioi2017_exploring_neural_text</x:v>
      </x:c>
      <x:c r="B113" s="20" t="str">
        <x:v>2017</x:v>
      </x:c>
      <x:c r="C113" s="20" t="str">
        <x:v>Exploring Neural Text Simplification Models</x:v>
      </x:c>
      <x:c r="D113" s="20" t="str">
        <x:v>02_Adjacent_Multilingual_TS</x:v>
      </x:c>
      <x:c r="E113" s="20" t="str">
        <x:v>0</x:v>
      </x:c>
      <x:c r="F113" s="20" t="str">
        <x:v>0</x:v>
      </x:c>
      <x:c r="G113" s="20" t="str">
        <x:v>0</x:v>
      </x:c>
      <x:c r="H113" s="20" t="str">
        <x:v>1</x:v>
      </x:c>
    </x:row>
    <x:row r="114">
      <x:c r="A114" s="20" t="str">
        <x:v>martin2020_muss_multilingual_unsupervised</x:v>
      </x:c>
      <x:c r="B114" s="20" t="str">
        <x:v>2020</x:v>
      </x:c>
      <x:c r="C114" s="20" t="str">
        <x:v>MUSS: Multilingual Unsupervised Sentence Simplification by Mining Paraphrases</x:v>
      </x:c>
      <x:c r="D114" s="20" t="str">
        <x:v>02_Adjacent_Multilingual_TS</x:v>
      </x:c>
      <x:c r="E114" s="20" t="str">
        <x:v>0</x:v>
      </x:c>
      <x:c r="F114" s="20" t="str">
        <x:v>1</x:v>
      </x:c>
      <x:c r="G114" s="20" t="str">
        <x:v>0</x:v>
      </x:c>
      <x:c r="H114" s="20" t="str">
        <x:v>0</x:v>
      </x:c>
    </x:row>
    <x:row r="115">
      <x:c r="A115" s="20" t="str">
        <x:v>martin2022_muss_multilingual_simplification</x:v>
      </x:c>
      <x:c r="B115" s="20" t="str">
        <x:v>2022</x:v>
      </x:c>
      <x:c r="C115" s="20" t="str">
        <x:v>MUSS: Multilingual Simplification by Encoding Simplification Operations</x:v>
      </x:c>
      <x:c r="D115" s="20" t="str">
        <x:v>02_Adjacent_Multilingual_TS</x:v>
      </x:c>
      <x:c r="E115" s="20" t="str">
        <x:v>0</x:v>
      </x:c>
      <x:c r="F115" s="20" t="str">
        <x:v>1</x:v>
      </x:c>
      <x:c r="G115" s="20" t="str">
        <x:v>0</x:v>
      </x:c>
      <x:c r="H115" s="20" t="str">
        <x:v>0</x:v>
      </x:c>
    </x:row>
    <x:row r="116">
      <x:c r="A116" s="20" t="str">
        <x:v>scarton2018_learning_simplification_specific</x:v>
      </x:c>
      <x:c r="B116" s="20" t="str">
        <x:v>2018</x:v>
      </x:c>
      <x:c r="C116" s="20" t="str">
        <x:v>Learning Simplifications for Specific Target Audiences</x:v>
      </x:c>
      <x:c r="D116" s="20" t="str">
        <x:v>02_Adjacent_Multilingual_TS</x:v>
      </x:c>
      <x:c r="E116" s="20" t="str">
        <x:v>0</x:v>
      </x:c>
      <x:c r="F116" s="20" t="str">
        <x:v>0</x:v>
      </x:c>
      <x:c r="G116" s="20" t="str">
        <x:v>0</x:v>
      </x:c>
      <x:c r="H116" s="20" t="str">
        <x:v>1</x:v>
      </x:c>
    </x:row>
    <x:row r="117">
      <x:c r="A117" s="20" t="str">
        <x:v>maddela2018_word_complexity_lexicon</x:v>
      </x:c>
      <x:c r="B117" s="20" t="str">
        <x:v>2018</x:v>
      </x:c>
      <x:c r="C117" s="20" t="str">
        <x:v>A Word-Complexity Lexicon and A Neural Readability Ranking Model for Lexical Simplification</x:v>
      </x:c>
      <x:c r="D117" s="20" t="str">
        <x:v>02_Adjacent_Multilingual_TS</x:v>
      </x:c>
      <x:c r="E117" s="20" t="str">
        <x:v>0</x:v>
      </x:c>
      <x:c r="F117" s="20" t="str">
        <x:v>0</x:v>
      </x:c>
      <x:c r="G117" s="20" t="str">
        <x:v>0</x:v>
      </x:c>
      <x:c r="H117" s="20" t="str">
        <x:v>1</x:v>
      </x:c>
    </x:row>
    <x:row r="118">
      <x:c r="A118" s="20" t="str">
        <x:v>shardlow2014_text_simplification</x:v>
      </x:c>
      <x:c r="B118" s="20" t="str">
        <x:v>2014</x:v>
      </x:c>
      <x:c r="C118" s="20" t="str">
        <x:v>A Survey of Automated Text Simplification</x:v>
      </x:c>
      <x:c r="D118" s="20" t="str">
        <x:v>02_Adjacent_Multilingual_TS</x:v>
      </x:c>
      <x:c r="E118" s="20" t="str">
        <x:v>0</x:v>
      </x:c>
      <x:c r="F118" s="20" t="str">
        <x:v>0</x:v>
      </x:c>
      <x:c r="G118" s="20" t="str">
        <x:v>0</x:v>
      </x:c>
      <x:c r="H118" s="20" t="str">
        <x:v>1</x:v>
      </x:c>
    </x:row>
    <x:row r="119">
      <x:c r="A119" s="20" t="str">
        <x:v>paetzold2017_lexical_simplification</x:v>
      </x:c>
      <x:c r="B119" s="20" t="str">
        <x:v>2017</x:v>
      </x:c>
      <x:c r="C119" s="20" t="str">
        <x:v>A Survey on Lexical Simplification</x:v>
      </x:c>
      <x:c r="D119" s="20" t="str">
        <x:v>02_Adjacent_Multilingual_TS</x:v>
      </x:c>
      <x:c r="E119" s="20" t="str">
        <x:v>0</x:v>
      </x:c>
      <x:c r="F119" s="20" t="str">
        <x:v>0</x:v>
      </x:c>
      <x:c r="G119" s="20" t="str">
        <x:v>0</x:v>
      </x:c>
      <x:c r="H119" s="20" t="str">
        <x:v>1</x:v>
      </x:c>
    </x:row>
    <x:row r="120">
      <x:c r="A120" s="20" t="str">
        <x:v>althanyyan2021_text_simplification</x:v>
      </x:c>
      <x:c r="B120" s="20" t="str">
        <x:v>2021</x:v>
      </x:c>
      <x:c r="C120" s="20" t="str">
        <x:v>Automated Text Simplification: A Survey</x:v>
      </x:c>
      <x:c r="D120" s="20" t="str">
        <x:v>02_Adjacent_Multilingual_TS</x:v>
      </x:c>
      <x:c r="E120" s="20" t="str">
        <x:v>0</x:v>
      </x:c>
      <x:c r="F120" s="20" t="str">
        <x:v>0</x:v>
      </x:c>
      <x:c r="G120" s="20" t="str">
        <x:v>0</x:v>
      </x:c>
      <x:c r="H120" s="20" t="str">
        <x:v>1</x:v>
      </x:c>
    </x:row>
    <x:row r="121">
      <x:c r="A121" s="20" t="str">
        <x:v>siddharthan2014_research_text_simplification</x:v>
      </x:c>
      <x:c r="B121" s="20" t="str">
        <x:v>2014</x:v>
      </x:c>
      <x:c r="C121" s="20" t="str">
        <x:v>A Survey of Research on Text Simplification</x:v>
      </x:c>
      <x:c r="D121" s="20" t="str">
        <x:v>02_Adjacent_Multilingual_TS</x:v>
      </x:c>
      <x:c r="E121" s="20" t="str">
        <x:v>0</x:v>
      </x:c>
      <x:c r="F121" s="20" t="str">
        <x:v>0</x:v>
      </x:c>
      <x:c r="G121" s="20" t="str">
        <x:v>0</x:v>
      </x:c>
      <x:c r="H121" s="20" t="str">
        <x:v>1</x:v>
      </x:c>
    </x:row>
    <x:row r="122">
      <x:c r="A122" s="20" t="str">
        <x:v>zhu2010_monolingual_tree_translation</x:v>
      </x:c>
      <x:c r="B122" s="20" t="str">
        <x:v>2010</x:v>
      </x:c>
      <x:c r="C122" s="20" t="str">
        <x:v>A Monolingual Tree-based Translation Model for Sentence Simplification</x:v>
      </x:c>
      <x:c r="D122" s="20" t="str">
        <x:v>02_Adjacent_Multilingual_TS</x:v>
      </x:c>
      <x:c r="E122" s="20" t="str">
        <x:v>0</x:v>
      </x:c>
      <x:c r="F122" s="20" t="str">
        <x:v>0</x:v>
      </x:c>
      <x:c r="G122" s="20" t="str">
        <x:v>0</x:v>
      </x:c>
      <x:c r="H122" s="20" t="str">
        <x:v>1</x:v>
      </x:c>
    </x:row>
    <x:row r="123">
      <x:c r="A123" s="20" t="str">
        <x:v>woodsend2011_learning_simplify_sentences</x:v>
      </x:c>
      <x:c r="B123" s="20" t="str">
        <x:v>2011</x:v>
      </x:c>
      <x:c r="C123" s="20" t="str">
        <x:v>Learning to Simplify Sentences with Quasi-Synchronous Grammar and Integer Programming</x:v>
      </x:c>
      <x:c r="D123" s="20" t="str">
        <x:v>02_Adjacent_Multilingual_TS</x:v>
      </x:c>
      <x:c r="E123" s="20" t="str">
        <x:v>0</x:v>
      </x:c>
      <x:c r="F123" s="20" t="str">
        <x:v>0</x:v>
      </x:c>
      <x:c r="G123" s="20" t="str">
        <x:v>0</x:v>
      </x:c>
      <x:c r="H123" s="20" t="str">
        <x:v>1</x:v>
      </x:c>
    </x:row>
    <x:row r="124">
      <x:c r="A124" s="20" t="str">
        <x:v>narayan2014_hybrid_simplification_deep</x:v>
      </x:c>
      <x:c r="B124" s="20" t="str">
        <x:v>2014</x:v>
      </x:c>
      <x:c r="C124" s="20" t="str">
        <x:v>Hybrid Simplification using Deep Semantics and Machine Translation</x:v>
      </x:c>
      <x:c r="D124" s="20" t="str">
        <x:v>02_Adjacent_Multilingual_TS</x:v>
      </x:c>
      <x:c r="E124" s="20" t="str">
        <x:v>0</x:v>
      </x:c>
      <x:c r="F124" s="20" t="str">
        <x:v>0</x:v>
      </x:c>
      <x:c r="G124" s="20" t="str">
        <x:v>0</x:v>
      </x:c>
      <x:c r="H124" s="20" t="str">
        <x:v>1</x:v>
      </x:c>
    </x:row>
    <x:row r="125">
      <x:c r="A125" s="20" t="str">
        <x:v>wubben2012_sentence_simplification_monolingual</x:v>
      </x:c>
      <x:c r="B125" s="20" t="str">
        <x:v>2012</x:v>
      </x:c>
      <x:c r="C125" s="20" t="str">
        <x:v>Sentence Simplification by Monolingual Machine Translation</x:v>
      </x:c>
      <x:c r="D125" s="20" t="str">
        <x:v>02_Adjacent_Multilingual_TS</x:v>
      </x:c>
      <x:c r="E125" s="20" t="str">
        <x:v>0</x:v>
      </x:c>
      <x:c r="F125" s="20" t="str">
        <x:v>0</x:v>
      </x:c>
      <x:c r="G125" s="20" t="str">
        <x:v>0</x:v>
      </x:c>
      <x:c r="H125" s="20" t="str">
        <x:v>1</x:v>
      </x:c>
    </x:row>
    <x:row r="126">
      <x:c r="A126" s="20" t="str">
        <x:v>coster2011_simple_english_wikipedia</x:v>
      </x:c>
      <x:c r="B126" s="20" t="str">
        <x:v>2011</x:v>
      </x:c>
      <x:c r="C126" s="20" t="str">
        <x:v>Simple English Wikipedia: A New Text Simplification Task</x:v>
      </x:c>
      <x:c r="D126" s="20" t="str">
        <x:v>02_Adjacent_Multilingual_TS</x:v>
      </x:c>
      <x:c r="E126" s="20" t="str">
        <x:v>0</x:v>
      </x:c>
      <x:c r="F126" s="20" t="str">
        <x:v>0</x:v>
      </x:c>
      <x:c r="G126" s="20" t="str">
        <x:v>0</x:v>
      </x:c>
      <x:c r="H126" s="20" t="str">
        <x:v>1</x:v>
      </x:c>
    </x:row>
    <x:row r="127">
      <x:c r="A127" s="20" t="str">
        <x:v>zhang2015_character_level_convolutional</x:v>
      </x:c>
      <x:c r="B127" s="20" t="str">
        <x:v>2015</x:v>
      </x:c>
      <x:c r="C127" s="20" t="str">
        <x:v>Character-level Convolutional Networks for Text Classification</x:v>
      </x:c>
      <x:c r="D127" s="20" t="str">
        <x:v>02_Adjacent_Multilingual_TS</x:v>
      </x:c>
      <x:c r="E127" s="20" t="str">
        <x:v>0</x:v>
      </x:c>
      <x:c r="F127" s="20" t="str">
        <x:v>0</x:v>
      </x:c>
      <x:c r="G127" s="20" t="str">
        <x:v>0</x:v>
      </x:c>
      <x:c r="H127" s="20" t="str">
        <x:v>1</x:v>
      </x:c>
    </x:row>
    <x:row r="128">
      <x:c r="A128" s="20" t="str">
        <x:v>zhao2018_integrating_transformer_paraphrase</x:v>
      </x:c>
      <x:c r="B128" s="20" t="str">
        <x:v>2018</x:v>
      </x:c>
      <x:c r="C128" s="20" t="str">
        <x:v>Integrating Transformer and Paraphrase Rules for Sentence Simplification</x:v>
      </x:c>
      <x:c r="D128" s="20" t="str">
        <x:v>02_Adjacent_Multilingual_TS</x:v>
      </x:c>
      <x:c r="E128" s="20" t="str">
        <x:v>0</x:v>
      </x:c>
      <x:c r="F128" s="20" t="str">
        <x:v>0</x:v>
      </x:c>
      <x:c r="G128" s="20" t="str">
        <x:v>0</x:v>
      </x:c>
      <x:c r="H128" s="20" t="str">
        <x:v>1</x:v>
      </x:c>
    </x:row>
    <x:row r="129">
      <x:c r="A129" s="20" t="str">
        <x:v>kriz2019_simplification_paraphrases_context</x:v>
      </x:c>
      <x:c r="B129" s="20" t="str">
        <x:v>2019</x:v>
      </x:c>
      <x:c r="C129" s="20" t="str">
        <x:v>Simplification Using Paraphrases and Context-based Lexical Substitution</x:v>
      </x:c>
      <x:c r="D129" s="20" t="str">
        <x:v>02_Adjacent_Multilingual_TS</x:v>
      </x:c>
      <x:c r="E129" s="20" t="str">
        <x:v>0</x:v>
      </x:c>
      <x:c r="F129" s="20" t="str">
        <x:v>0</x:v>
      </x:c>
      <x:c r="G129" s="20" t="str">
        <x:v>0</x:v>
      </x:c>
      <x:c r="H129" s="20" t="str">
        <x:v>1</x:v>
      </x:c>
    </x:row>
    <x:row r="130">
      <x:c r="A130" s="20" t="str">
        <x:v>lin2004_rouge_package_evaluation</x:v>
      </x:c>
      <x:c r="B130" s="20" t="str">
        <x:v>2004</x:v>
      </x:c>
      <x:c r="C130" s="20" t="str">
        <x:v>ROUGE: A Package for Automatic Evaluation of Summaries</x:v>
      </x:c>
      <x:c r="D130" s="20" t="str">
        <x:v>07_Evaluation_Methods</x:v>
      </x:c>
      <x:c r="E130" s="20" t="str">
        <x:v>0</x:v>
      </x:c>
      <x:c r="F130" s="20" t="str">
        <x:v>0</x:v>
      </x:c>
      <x:c r="G130" s="20" t="str">
        <x:v>0</x:v>
      </x:c>
      <x:c r="H130" s="20" t="str">
        <x:v>1</x:v>
      </x:c>
    </x:row>
    <x:row r="131">
      <x:c r="A131" s="20" t="str">
        <x:v>papineni2002_bleu_evaluation_machine</x:v>
      </x:c>
      <x:c r="B131" s="20" t="str">
        <x:v>2002</x:v>
      </x:c>
      <x:c r="C131" s="20" t="str">
        <x:v>BLEU: A Method for Automatic Evaluation of Machine Translation</x:v>
      </x:c>
      <x:c r="D131" s="20" t="str">
        <x:v>07_Evaluation_Methods</x:v>
      </x:c>
      <x:c r="E131" s="20" t="str">
        <x:v>0</x:v>
      </x:c>
      <x:c r="F131" s="20" t="str">
        <x:v>0</x:v>
      </x:c>
      <x:c r="G131" s="20" t="str">
        <x:v>0</x:v>
      </x:c>
      <x:c r="H131" s="20" t="str">
        <x:v>1</x:v>
      </x:c>
    </x:row>
    <x:row r="132">
      <x:c r="A132" s="20" t="str">
        <x:v>banerjee2005_meteor_metric_mt</x:v>
      </x:c>
      <x:c r="B132" s="20" t="str">
        <x:v>2005</x:v>
      </x:c>
      <x:c r="C132" s="20" t="str">
        <x:v>METEOR: An Automatic Metric for MT Evaluation with Improved Correlation with Human Judgments</x:v>
      </x:c>
      <x:c r="D132" s="20" t="str">
        <x:v>07_Evaluation_Methods</x:v>
      </x:c>
      <x:c r="E132" s="20" t="str">
        <x:v>0</x:v>
      </x:c>
      <x:c r="F132" s="20" t="str">
        <x:v>0</x:v>
      </x:c>
      <x:c r="G132" s="20" t="str">
        <x:v>0</x:v>
      </x:c>
      <x:c r="H132" s="20" t="str">
        <x:v>1</x:v>
      </x:c>
    </x:row>
    <x:row r="133">
      <x:c r="A133" s="20" t="str">
        <x:v>zhang2020_bertscore_evaluating_text</x:v>
      </x:c>
      <x:c r="B133" s="20" t="str">
        <x:v>2020</x:v>
      </x:c>
      <x:c r="C133" s="20" t="str">
        <x:v>BERTScore: Evaluating Text Generation with BERT</x:v>
      </x:c>
      <x:c r="D133" s="20" t="str">
        <x:v>07_Evaluation_Methods</x:v>
      </x:c>
      <x:c r="E133" s="20" t="str">
        <x:v>0</x:v>
      </x:c>
      <x:c r="F133" s="20" t="str">
        <x:v>0</x:v>
      </x:c>
      <x:c r="G133" s="20" t="str">
        <x:v>0</x:v>
      </x:c>
      <x:c r="H133" s="20" t="str">
        <x:v>1</x:v>
      </x:c>
    </x:row>
    <x:row r="134">
      <x:c r="A134" s="20" t="str">
        <x:v>sellam2020_bleurt_learning_robust</x:v>
      </x:c>
      <x:c r="B134" s="20" t="str">
        <x:v>2020</x:v>
      </x:c>
      <x:c r="C134" s="20" t="str">
        <x:v>BLEURT: Learning Robust Metrics for Text Generation</x:v>
      </x:c>
      <x:c r="D134" s="20" t="str">
        <x:v>07_Evaluation_Methods</x:v>
      </x:c>
      <x:c r="E134" s="20" t="str">
        <x:v>0</x:v>
      </x:c>
      <x:c r="F134" s="20" t="str">
        <x:v>0</x:v>
      </x:c>
      <x:c r="G134" s="20" t="str">
        <x:v>0</x:v>
      </x:c>
      <x:c r="H134" s="20" t="str">
        <x:v>1</x:v>
      </x:c>
    </x:row>
    <x:row r="135">
      <x:c r="A135" s="20" t="str">
        <x:v>rei2020_comet_neural_framework</x:v>
      </x:c>
      <x:c r="B135" s="20" t="str">
        <x:v>2020</x:v>
      </x:c>
      <x:c r="C135" s="20" t="str">
        <x:v>COMET: A Neural Framework for MT Evaluation</x:v>
      </x:c>
      <x:c r="D135" s="20" t="str">
        <x:v>07_Evaluation_Methods</x:v>
      </x:c>
      <x:c r="E135" s="20" t="str">
        <x:v>0</x:v>
      </x:c>
      <x:c r="F135" s="20" t="str">
        <x:v>0</x:v>
      </x:c>
      <x:c r="G135" s="20" t="str">
        <x:v>0</x:v>
      </x:c>
      <x:c r="H135" s="20" t="str">
        <x:v>1</x:v>
      </x:c>
    </x:row>
    <x:row r="136">
      <x:c r="A136" s="20" t="str">
        <x:v>landis1977_measurement_observer_agreement</x:v>
      </x:c>
      <x:c r="B136" s="20" t="str">
        <x:v>1977</x:v>
      </x:c>
      <x:c r="C136" s="20" t="str">
        <x:v>The Measurement of Observer Agreement for Categorical Data</x:v>
      </x:c>
      <x:c r="D136" s="20" t="str">
        <x:v>07_Evaluation_Methods</x:v>
      </x:c>
      <x:c r="E136" s="20" t="str">
        <x:v>0</x:v>
      </x:c>
      <x:c r="F136" s="20" t="str">
        <x:v>0</x:v>
      </x:c>
      <x:c r="G136" s="20" t="str">
        <x:v>0</x:v>
      </x:c>
      <x:c r="H136" s="20" t="str">
        <x:v>1</x:v>
      </x:c>
    </x:row>
    <x:row r="137">
      <x:c r="A137" s="20" t="str">
        <x:v>fleiss1971_measuring_nominal_agreement</x:v>
      </x:c>
      <x:c r="B137" s="20" t="str">
        <x:v>1971</x:v>
      </x:c>
      <x:c r="C137" s="20" t="str">
        <x:v>Measuring Nominal Scale Agreement among Many Raters</x:v>
      </x:c>
      <x:c r="D137" s="20" t="str">
        <x:v>07_Evaluation_Methods</x:v>
      </x:c>
      <x:c r="E137" s="20" t="str">
        <x:v>0</x:v>
      </x:c>
      <x:c r="F137" s="20" t="str">
        <x:v>0</x:v>
      </x:c>
      <x:c r="G137" s="20" t="str">
        <x:v>0</x:v>
      </x:c>
      <x:c r="H137" s="20" t="str">
        <x:v>1</x:v>
      </x:c>
    </x:row>
    <x:row r="138">
      <x:c r="A138" s="20" t="str">
        <x:v>cohen1960_coefficient_agreement_nominal</x:v>
      </x:c>
      <x:c r="B138" s="20" t="str">
        <x:v>1960</x:v>
      </x:c>
      <x:c r="C138" s="20" t="str">
        <x:v>A Coefficient of Agreement for Nominal Scales</x:v>
      </x:c>
      <x:c r="D138" s="20" t="str">
        <x:v>07_Evaluation_Methods</x:v>
      </x:c>
      <x:c r="E138" s="20" t="str">
        <x:v>0</x:v>
      </x:c>
      <x:c r="F138" s="20" t="str">
        <x:v>0</x:v>
      </x:c>
      <x:c r="G138" s="20" t="str">
        <x:v>0</x:v>
      </x:c>
      <x:c r="H138" s="20" t="str">
        <x:v>1</x:v>
      </x:c>
    </x:row>
    <x:row r="139">
      <x:c r="A139" s="20" t="str">
        <x:v>krippendorff2011_computing_krippendorff_s</x:v>
      </x:c>
      <x:c r="B139" s="20" t="str">
        <x:v>2011</x:v>
      </x:c>
      <x:c r="C139" s="20" t="str">
        <x:v>Computing Krippendorff's Alpha-Reliability</x:v>
      </x:c>
      <x:c r="D139" s="20" t="str">
        <x:v>07_Evaluation_Methods</x:v>
      </x:c>
      <x:c r="E139" s="20" t="str">
        <x:v>0</x:v>
      </x:c>
      <x:c r="F139" s="20" t="str">
        <x:v>0</x:v>
      </x:c>
      <x:c r="G139" s="20" t="str">
        <x:v>0</x:v>
      </x:c>
      <x:c r="H139" s="20" t="str">
        <x:v>1</x:v>
      </x:c>
    </x:row>
    <x:row r="140">
      <x:c r="A140" s="20" t="str">
        <x:v>belz2006_comparing_human_evaluation</x:v>
      </x:c>
      <x:c r="B140" s="20" t="str">
        <x:v>2006</x:v>
      </x:c>
      <x:c r="C140" s="20" t="str">
        <x:v>Comparing Automatic and Human Evaluation of NLG Systems</x:v>
      </x:c>
      <x:c r="D140" s="20" t="str">
        <x:v>07_Evaluation_Methods</x:v>
      </x:c>
      <x:c r="E140" s="20" t="str">
        <x:v>0</x:v>
      </x:c>
      <x:c r="F140" s="20" t="str">
        <x:v>0</x:v>
      </x:c>
      <x:c r="G140" s="20" t="str">
        <x:v>0</x:v>
      </x:c>
      <x:c r="H140" s="20" t="str">
        <x:v>1</x:v>
      </x:c>
    </x:row>
    <x:row r="141">
      <x:c r="A141" s="20" t="str">
        <x:v>vanderlee2019_best_practices_human</x:v>
      </x:c>
      <x:c r="B141" s="20" t="str">
        <x:v>2019</x:v>
      </x:c>
      <x:c r="C141" s="20" t="str">
        <x:v>Best Practices for the Human Evaluation of Automatically Generated Text</x:v>
      </x:c>
      <x:c r="D141" s="20" t="str">
        <x:v>07_Evaluation_Methods</x:v>
      </x:c>
      <x:c r="E141" s="20" t="str">
        <x:v>0</x:v>
      </x:c>
      <x:c r="F141" s="20" t="str">
        <x:v>0</x:v>
      </x:c>
      <x:c r="G141" s="20" t="str">
        <x:v>0</x:v>
      </x:c>
      <x:c r="H141" s="20" t="str">
        <x:v>1</x:v>
      </x:c>
    </x:row>
    <x:row r="142">
      <x:c r="A142" s="20" t="str">
        <x:v>howcroft2020_twenty_years_confusion</x:v>
      </x:c>
      <x:c r="B142" s="20" t="str">
        <x:v>2020</x:v>
      </x:c>
      <x:c r="C142" s="20" t="str">
        <x:v>Twenty Years of Confusion in Human Evaluation: NLG Needs Evaluation Sheets and Standardised Definitions</x:v>
      </x:c>
      <x:c r="D142" s="20" t="str">
        <x:v>07_Evaluation_Methods</x:v>
      </x:c>
      <x:c r="E142" s="20" t="str">
        <x:v>0</x:v>
      </x:c>
      <x:c r="F142" s="20" t="str">
        <x:v>0</x:v>
      </x:c>
      <x:c r="G142" s="20" t="str">
        <x:v>0</x:v>
      </x:c>
      <x:c r="H142" s="20" t="str">
        <x:v>1</x:v>
      </x:c>
    </x:row>
    <x:row r="143">
      <x:c r="A143" s="20" t="str">
        <x:v>flesch1948_readability_yardstick</x:v>
      </x:c>
      <x:c r="B143" s="20" t="str">
        <x:v>1948</x:v>
      </x:c>
      <x:c r="C143" s="20" t="str">
        <x:v>A New Readability Yardstick</x:v>
      </x:c>
      <x:c r="D143" s="20" t="str">
        <x:v>07_Evaluation_Methods</x:v>
      </x:c>
      <x:c r="E143" s="20" t="str">
        <x:v>0</x:v>
      </x:c>
      <x:c r="F143" s="20" t="str">
        <x:v>0</x:v>
      </x:c>
      <x:c r="G143" s="20" t="str">
        <x:v>0</x:v>
      </x:c>
      <x:c r="H143" s="20" t="str">
        <x:v>1</x:v>
      </x:c>
    </x:row>
    <x:row r="144">
      <x:c r="A144" s="20" t="str">
        <x:v>kincaid1975_derivation_readability_formulas</x:v>
      </x:c>
      <x:c r="B144" s="20" t="str">
        <x:v>1975</x:v>
      </x:c>
      <x:c r="C144" s="20" t="str">
        <x:v>Derivation of New Readability Formulas for Navy Enlisted Personnel</x:v>
      </x:c>
      <x:c r="D144" s="20" t="str">
        <x:v>07_Evaluation_Methods</x:v>
      </x:c>
      <x:c r="E144" s="20" t="str">
        <x:v>0</x:v>
      </x:c>
      <x:c r="F144" s="20" t="str">
        <x:v>0</x:v>
      </x:c>
      <x:c r="G144" s="20" t="str">
        <x:v>0</x:v>
      </x:c>
      <x:c r="H144" s="20" t="str">
        <x:v>1</x:v>
      </x:c>
    </x:row>
    <x:row r="145">
      <x:c r="A145" s="20" t="str">
        <x:v>mclaughlin1969_smog_grading_readability</x:v>
      </x:c>
      <x:c r="B145" s="20" t="str">
        <x:v>1969</x:v>
      </x:c>
      <x:c r="C145" s="20" t="str">
        <x:v>SMOG Grading: A New Readability Formula</x:v>
      </x:c>
      <x:c r="D145" s="20" t="str">
        <x:v>07_Evaluation_Methods</x:v>
      </x:c>
      <x:c r="E145" s="20" t="str">
        <x:v>0</x:v>
      </x:c>
      <x:c r="F145" s="20" t="str">
        <x:v>0</x:v>
      </x:c>
      <x:c r="G145" s="20" t="str">
        <x:v>0</x:v>
      </x:c>
      <x:c r="H145" s="20" t="str">
        <x:v>1</x:v>
      </x:c>
    </x:row>
    <x:row r="146">
      <x:c r="A146" s="20" t="str">
        <x:v>dale1948_formula_predicting_readability</x:v>
      </x:c>
      <x:c r="B146" s="20" t="str">
        <x:v>1948</x:v>
      </x:c>
      <x:c r="C146" s="20" t="str">
        <x:v>A Formula for Predicting Readability</x:v>
      </x:c>
      <x:c r="D146" s="20" t="str">
        <x:v>07_Evaluation_Methods</x:v>
      </x:c>
      <x:c r="E146" s="20" t="str">
        <x:v>0</x:v>
      </x:c>
      <x:c r="F146" s="20" t="str">
        <x:v>0</x:v>
      </x:c>
      <x:c r="G146" s="20" t="str">
        <x:v>0</x:v>
      </x:c>
      <x:c r="H146" s="20" t="str">
        <x:v>1</x:v>
      </x:c>
    </x:row>
    <x:row r="147">
      <x:c r="A147" s="20" t="str">
        <x:v>badarudeen2010_assessing_readability_patient</x:v>
      </x:c>
      <x:c r="B147" s="20" t="str">
        <x:v>2010</x:v>
      </x:c>
      <x:c r="C147" s="20" t="str">
        <x:v>Assessing Readability of Patient Education Materials: Current Role in Orthopaedics</x:v>
      </x:c>
      <x:c r="D147" s="20" t="str">
        <x:v>07_Evaluation_Methods</x:v>
      </x:c>
      <x:c r="E147" s="20" t="str">
        <x:v>0</x:v>
      </x:c>
      <x:c r="F147" s="20" t="str">
        <x:v>0</x:v>
      </x:c>
      <x:c r="G147" s="20" t="str">
        <x:v>0</x:v>
      </x:c>
      <x:c r="H147" s="20" t="str">
        <x:v>1</x:v>
      </x:c>
    </x:row>
    <x:row r="148">
      <x:c r="A148" s="20" t="str">
        <x:v>weiss2003_health_literacy_manual</x:v>
      </x:c>
      <x:c r="B148" s="20" t="str">
        <x:v>2003</x:v>
      </x:c>
      <x:c r="C148" s="20" t="str">
        <x:v>Health Literacy: A Manual for Clinicians</x:v>
      </x:c>
      <x:c r="D148" s="20" t="str">
        <x:v>07_Evaluation_Methods</x:v>
      </x:c>
      <x:c r="E148" s="20" t="str">
        <x:v>0</x:v>
      </x:c>
      <x:c r="F148" s="20" t="str">
        <x:v>0</x:v>
      </x:c>
      <x:c r="G148" s="20" t="str">
        <x:v>0</x:v>
      </x:c>
      <x:c r="H148" s="20" t="str">
        <x:v>1</x:v>
      </x:c>
    </x:row>
    <x:row r="149">
      <x:c r="A149" s="20" t="str">
        <x:v>berkman2011_low_health_literacy</x:v>
      </x:c>
      <x:c r="B149" s="20" t="str">
        <x:v>2011</x:v>
      </x:c>
      <x:c r="C149" s="20" t="str">
        <x:v>Low Health Literacy and Health Outcomes: An Updated Systematic Review</x:v>
      </x:c>
      <x:c r="D149" s="20" t="str">
        <x:v>07_Evaluation_Methods</x:v>
      </x:c>
      <x:c r="E149" s="20" t="str">
        <x:v>0</x:v>
      </x:c>
      <x:c r="F149" s="20" t="str">
        <x:v>0</x:v>
      </x:c>
      <x:c r="G149" s="20" t="str">
        <x:v>0</x:v>
      </x:c>
      <x:c r="H149" s="20" t="str">
        <x:v>1</x:v>
      </x:c>
    </x:row>
    <x:row r="150">
      <x:c r="A150" s="20" t="str">
        <x:v>page2021_prisma_2020_statement</x:v>
      </x:c>
      <x:c r="B150" s="20" t="str">
        <x:v>2021</x:v>
      </x:c>
      <x:c r="C150" s="20" t="str">
        <x:v>The PRISMA 2020 Statement: An Updated Guideline for Reporting Systematic Reviews</x:v>
      </x:c>
      <x:c r="D150" s="20" t="str">
        <x:v>08_Systematic_Review_Methods</x:v>
      </x:c>
      <x:c r="E150" s="20" t="str">
        <x:v>0</x:v>
      </x:c>
      <x:c r="F150" s="20" t="str">
        <x:v>0</x:v>
      </x:c>
      <x:c r="G150" s="20" t="str">
        <x:v>0</x:v>
      </x:c>
      <x:c r="H150" s="20" t="str">
        <x:v>1</x:v>
      </x:c>
    </x:row>
    <x:row r="151">
      <x:c r="A151" s="20" t="str">
        <x:v>rethlefsen2021_prisma_s_extension</x:v>
      </x:c>
      <x:c r="B151" s="20" t="str">
        <x:v>2021</x:v>
      </x:c>
      <x:c r="C151" s="20" t="str">
        <x:v>PRISMA-S: An Extension to the PRISMA Statement for Reporting Literature Searches in Systematic Reviews</x:v>
      </x:c>
      <x:c r="D151" s="20" t="str">
        <x:v>08_Systematic_Review_Methods</x:v>
      </x:c>
      <x:c r="E151" s="20" t="str">
        <x:v>0</x:v>
      </x:c>
      <x:c r="F151" s="20" t="str">
        <x:v>0</x:v>
      </x:c>
      <x:c r="G151" s="20" t="str">
        <x:v>0</x:v>
      </x:c>
      <x:c r="H151" s="20" t="str">
        <x:v>1</x:v>
      </x:c>
    </x:row>
    <x:row r="152">
      <x:c r="A152" s="20" t="str">
        <x:v>campbell2020_synthesis_without_meta</x:v>
      </x:c>
      <x:c r="B152" s="20" t="str">
        <x:v>2020</x:v>
      </x:c>
      <x:c r="C152" s="20" t="str">
        <x:v>Synthesis without Meta-analysis (SWiM) in Systematic Reviews: Reporting Guideline</x:v>
      </x:c>
      <x:c r="D152" s="20" t="str">
        <x:v>08_Systematic_Review_Methods</x:v>
      </x:c>
      <x:c r="E152" s="20" t="str">
        <x:v>0</x:v>
      </x:c>
      <x:c r="F152" s="20" t="str">
        <x:v>0</x:v>
      </x:c>
      <x:c r="G152" s="20" t="str">
        <x:v>0</x:v>
      </x:c>
      <x:c r="H152" s="20" t="str">
        <x:v>1</x:v>
      </x:c>
    </x:row>
    <x:row r="153">
      <x:c r="A153" s="20" t="str">
        <x:v>guyatt2008_grade_emerging_consensus</x:v>
      </x:c>
      <x:c r="B153" s="20" t="str">
        <x:v>2008</x:v>
      </x:c>
      <x:c r="C153" s="20" t="str">
        <x:v>GRADE: An Emerging Consensus on Rating Quality of Evidence and Strength of Recommendations</x:v>
      </x:c>
      <x:c r="D153" s="20" t="str">
        <x:v>08_Systematic_Review_Methods</x:v>
      </x:c>
      <x:c r="E153" s="20" t="str">
        <x:v>0</x:v>
      </x:c>
      <x:c r="F153" s="20" t="str">
        <x:v>0</x:v>
      </x:c>
      <x:c r="G153" s="20" t="str">
        <x:v>0</x:v>
      </x:c>
      <x:c r="H153" s="20" t="str">
        <x:v>1</x:v>
      </x:c>
    </x:row>
    <x:row r="154">
      <x:c r="A154" s="20" t="str">
        <x:v>sterne2019_rob_2_revised</x:v>
      </x:c>
      <x:c r="B154" s="20" t="str">
        <x:v>2019</x:v>
      </x:c>
      <x:c r="C154" s="20" t="str">
        <x:v>RoB 2: A Revised Tool for Assessing Risk of Bias in Randomised Trials</x:v>
      </x:c>
      <x:c r="D154" s="20" t="str">
        <x:v>08_Systematic_Review_Methods</x:v>
      </x:c>
      <x:c r="E154" s="20" t="str">
        <x:v>0</x:v>
      </x:c>
      <x:c r="F154" s="20" t="str">
        <x:v>0</x:v>
      </x:c>
      <x:c r="G154" s="20" t="str">
        <x:v>0</x:v>
      </x:c>
      <x:c r="H154" s="20" t="str">
        <x:v>1</x:v>
      </x:c>
    </x:row>
    <x:row r="155">
      <x:c r="A155" s="20" t="str">
        <x:v>sterne2016_robins_i_tool</x:v>
      </x:c>
      <x:c r="B155" s="20" t="str">
        <x:v>2016</x:v>
      </x:c>
      <x:c r="C155" s="20" t="str">
        <x:v>ROBINS-I: A Tool for Assessing Risk of Bias in Non-randomised Studies of Interventions</x:v>
      </x:c>
      <x:c r="D155" s="20" t="str">
        <x:v>08_Systematic_Review_Methods</x:v>
      </x:c>
      <x:c r="E155" s="20" t="str">
        <x:v>0</x:v>
      </x:c>
      <x:c r="F155" s="20" t="str">
        <x:v>0</x:v>
      </x:c>
      <x:c r="G155" s="20" t="str">
        <x:v>0</x:v>
      </x:c>
      <x:c r="H155" s="20" t="str">
        <x:v>1</x:v>
      </x:c>
    </x:row>
    <x:row r="156">
      <x:c r="A156" s="20" t="str">
        <x:v>shea2017_amstar_2_critical</x:v>
      </x:c>
      <x:c r="B156" s="20" t="str">
        <x:v>2017</x:v>
      </x:c>
      <x:c r="C156" s="20" t="str">
        <x:v>AMSTAR 2: A Critical Appraisal Tool for Systematic Reviews That Include Randomised or Non-randomised Studies of Healthcare Interventions, or Both</x:v>
      </x:c>
      <x:c r="D156" s="20" t="str">
        <x:v>08_Systematic_Review_Methods</x:v>
      </x:c>
      <x:c r="E156" s="20" t="str">
        <x:v>0</x:v>
      </x:c>
      <x:c r="F156" s="20" t="str">
        <x:v>0</x:v>
      </x:c>
      <x:c r="G156" s="20" t="str">
        <x:v>0</x:v>
      </x:c>
      <x:c r="H156" s="20" t="str">
        <x:v>1</x:v>
      </x:c>
    </x:row>
    <x:row r="157">
      <x:c r="A157" s="20" t="str">
        <x:v>cooke2012_beyond_pico_spider</x:v>
      </x:c>
      <x:c r="B157" s="20" t="str">
        <x:v>2012</x:v>
      </x:c>
      <x:c r="C157" s="20" t="str">
        <x:v>Beyond PICO: The SPIDER Tool for Qualitative Evidence Synthesis</x:v>
      </x:c>
      <x:c r="D157" s="20" t="str">
        <x:v>08_Systematic_Review_Methods</x:v>
      </x:c>
      <x:c r="E157" s="20" t="str">
        <x:v>0</x:v>
      </x:c>
      <x:c r="F157" s="20" t="str">
        <x:v>0</x:v>
      </x:c>
      <x:c r="G157" s="20" t="str">
        <x:v>0</x:v>
      </x:c>
      <x:c r="H157" s="20" t="str">
        <x:v>1</x:v>
      </x:c>
    </x:row>
    <x:row r="158">
      <x:c r="A158" s="20" t="str">
        <x:v>thomas2008_thematic_synthesis_qualitative</x:v>
      </x:c>
      <x:c r="B158" s="20" t="str">
        <x:v>2008</x:v>
      </x:c>
      <x:c r="C158" s="20" t="str">
        <x:v>Methods for the Thematic Synthesis of Qualitative Research in Systematic Reviews</x:v>
      </x:c>
      <x:c r="D158" s="20" t="str">
        <x:v>08_Systematic_Review_Methods</x:v>
      </x:c>
      <x:c r="E158" s="20" t="str">
        <x:v>0</x:v>
      </x:c>
      <x:c r="F158" s="20" t="str">
        <x:v>0</x:v>
      </x:c>
      <x:c r="G158" s="20" t="str">
        <x:v>0</x:v>
      </x:c>
      <x:c r="H158" s="20" t="str">
        <x:v>1</x:v>
      </x:c>
    </x:row>
    <x:row r="159">
      <x:c r="A159" s="20" t="str">
        <x:v>haddaway2022_prisma2020_r_package</x:v>
      </x:c>
      <x:c r="B159" s="20" t="str">
        <x:v>2022</x:v>
      </x:c>
      <x:c r="C159" s="20" t="str">
        <x:v>PRISMA2020: An R Package and Shiny App for Producing PRISMA 2020-compliant Flow Diagrams</x:v>
      </x:c>
      <x:c r="D159" s="20" t="str">
        <x:v>08_Systematic_Review_Methods</x:v>
      </x:c>
      <x:c r="E159" s="20" t="str">
        <x:v>0</x:v>
      </x:c>
      <x:c r="F159" s="20" t="str">
        <x:v>0</x:v>
      </x:c>
      <x:c r="G159" s="20" t="str">
        <x:v>0</x:v>
      </x:c>
      <x:c r="H159" s="20" t="str">
        <x:v>1</x:v>
      </x:c>
    </x:row>
    <x:row r="160">
      <x:c r="A160" s="20" t="str">
        <x:v>ouzzani2016_rayyan_web_mobile</x:v>
      </x:c>
      <x:c r="B160" s="20" t="str">
        <x:v>2016</x:v>
      </x:c>
      <x:c r="C160" s="20" t="str">
        <x:v>Rayyan: A Web and Mobile App for Systematic Reviews</x:v>
      </x:c>
      <x:c r="D160" s="20" t="str">
        <x:v>08_Systematic_Review_Methods</x:v>
      </x:c>
      <x:c r="E160" s="20" t="str">
        <x:v>0</x:v>
      </x:c>
      <x:c r="F160" s="20" t="str">
        <x:v>0</x:v>
      </x:c>
      <x:c r="G160" s="20" t="str">
        <x:v>0</x:v>
      </x:c>
      <x:c r="H160" s="20" t="str">
        <x:v>1</x:v>
      </x:c>
    </x:row>
    <x:row r="161">
      <x:c r="A161" s="20" t="str">
        <x:v>aria2017_bibliometrix_r_tool</x:v>
      </x:c>
      <x:c r="B161" s="20" t="str">
        <x:v>2017</x:v>
      </x:c>
      <x:c r="C161" s="20" t="str">
        <x:v>Bibliometrix: An R-tool for Comprehensive Science Mapping Analysis</x:v>
      </x:c>
      <x:c r="D161" s="20" t="str">
        <x:v>08_Systematic_Review_Methods</x:v>
      </x:c>
      <x:c r="E161" s="20" t="str">
        <x:v>0</x:v>
      </x:c>
      <x:c r="F161" s="20" t="str">
        <x:v>0</x:v>
      </x:c>
      <x:c r="G161" s="20" t="str">
        <x:v>0</x:v>
      </x:c>
      <x:c r="H161" s="20" t="str">
        <x:v>1</x:v>
      </x:c>
    </x:row>
    <x:row r="162">
      <x:c r="A162" s="20" t="str">
        <x:v>vaneck2010_software_vosviewer_computer</x:v>
      </x:c>
      <x:c r="B162" s="20" t="str">
        <x:v>2010</x:v>
      </x:c>
      <x:c r="C162" s="20" t="str">
        <x:v>Software Survey: VOSviewer, a Computer Program for Bibliometric Mapping</x:v>
      </x:c>
      <x:c r="D162" s="20" t="str">
        <x:v>08_Systematic_Review_Methods</x:v>
      </x:c>
      <x:c r="E162" s="20" t="str">
        <x:v>0</x:v>
      </x:c>
      <x:c r="F162" s="20" t="str">
        <x:v>0</x:v>
      </x:c>
      <x:c r="G162" s="20" t="str">
        <x:v>0</x:v>
      </x:c>
      <x:c r="H162" s="20" t="str">
        <x:v>1</x:v>
      </x:c>
    </x:row>
    <x:row r="163">
      <x:c r="A163" s="20" t="str">
        <x:v>moher2009_preferred_reporting_items</x:v>
      </x:c>
      <x:c r="B163" s="20" t="str">
        <x:v>2009</x:v>
      </x:c>
      <x:c r="C163" s="20" t="str">
        <x:v>Preferred Reporting Items for Systematic Reviews and Meta-Analyses: The PRISMA Statement</x:v>
      </x:c>
      <x:c r="D163" s="20" t="str">
        <x:v>08_Systematic_Review_Methods</x:v>
      </x:c>
      <x:c r="E163" s="20" t="str">
        <x:v>0</x:v>
      </x:c>
      <x:c r="F163" s="20" t="str">
        <x:v>0</x:v>
      </x:c>
      <x:c r="G163" s="20" t="str">
        <x:v>0</x:v>
      </x:c>
      <x:c r="H163" s="20" t="str">
        <x:v>1</x:v>
      </x:c>
    </x:row>
    <x:row r="164">
      <x:c r="A164" s="20" t="str">
        <x:v>higgins2023_cochrane_handbook_systematic</x:v>
      </x:c>
      <x:c r="B164" s="20" t="str">
        <x:v>2023</x:v>
      </x:c>
      <x:c r="C164" s="20" t="str">
        <x:v>Cochrane Handbook for Systematic Reviews of Interventions</x:v>
      </x:c>
      <x:c r="D164" s="20" t="str">
        <x:v>08_Systematic_Review_Methods</x:v>
      </x:c>
      <x:c r="E164" s="20" t="str">
        <x:v>0</x:v>
      </x:c>
      <x:c r="F164" s="20" t="str">
        <x:v>0</x:v>
      </x:c>
      <x:c r="G164" s="20" t="str">
        <x:v>0</x:v>
      </x:c>
      <x:c r="H164" s="20" t="str">
        <x:v>1</x:v>
      </x:c>
    </x:row>
    <x:row r="165">
      <x:c r="A165" s="20" t="str">
        <x:v>aromataris2020_jbi_manual_evidence</x:v>
      </x:c>
      <x:c r="B165" s="20" t="str">
        <x:v>2020</x:v>
      </x:c>
      <x:c r="C165" s="20" t="str">
        <x:v>JBI Manual for Evidence Synthesis</x:v>
      </x:c>
      <x:c r="D165" s="20" t="str">
        <x:v>08_Systematic_Review_Methods</x:v>
      </x:c>
      <x:c r="E165" s="20" t="str">
        <x:v>0</x:v>
      </x:c>
      <x:c r="F165" s="20" t="str">
        <x:v>0</x:v>
      </x:c>
      <x:c r="G165" s="20" t="str">
        <x:v>0</x:v>
      </x:c>
      <x:c r="H165" s="20" t="str">
        <x:v>1</x:v>
      </x:c>
    </x:row>
    <x:row r="166">
      <x:c r="A166" s="20" t="str">
        <x:v>hong2018_mixed_appraisal_tool</x:v>
      </x:c>
      <x:c r="B166" s="20" t="str">
        <x:v>2018</x:v>
      </x:c>
      <x:c r="C166" s="20" t="str">
        <x:v>Mixed Methods Appraisal Tool (MMAT), Version 2018</x:v>
      </x:c>
      <x:c r="D166" s="20" t="str">
        <x:v>08_Systematic_Review_Methods</x:v>
      </x:c>
      <x:c r="E166" s="20" t="str">
        <x:v>0</x:v>
      </x:c>
      <x:c r="F166" s="20" t="str">
        <x:v>0</x:v>
      </x:c>
      <x:c r="G166" s="20" t="str">
        <x:v>0</x:v>
      </x:c>
      <x:c r="H166" s="20" t="str">
        <x:v>1</x:v>
      </x:c>
    </x:row>
    <x:row r="167">
      <x:c r="A167" s="20" t="str">
        <x:v>devlin2019_bert_pre_training</x:v>
      </x:c>
      <x:c r="B167" s="20" t="str">
        <x:v>2019</x:v>
      </x:c>
      <x:c r="C167" s="20" t="str">
        <x:v>BERT: Pre-training of Deep Bidirectional Transformers for Language Understanding</x:v>
      </x:c>
      <x:c r="D167" s="20" t="str">
        <x:v>10_LLM_Backbones_LowResource</x:v>
      </x:c>
      <x:c r="E167" s="20" t="str">
        <x:v>0</x:v>
      </x:c>
      <x:c r="F167" s="20" t="str">
        <x:v>0</x:v>
      </x:c>
      <x:c r="G167" s="20" t="str">
        <x:v>0</x:v>
      </x:c>
      <x:c r="H167" s="20" t="str">
        <x:v>1</x:v>
      </x:c>
    </x:row>
    <x:row r="168">
      <x:c r="A168" s="20" t="str">
        <x:v>raffel2020_exploring_limits_transfer</x:v>
      </x:c>
      <x:c r="B168" s="20" t="str">
        <x:v>2020</x:v>
      </x:c>
      <x:c r="C168" s="20" t="str">
        <x:v>Exploring the Limits of Transfer Learning with a Unified Text-to-Text Transformer</x:v>
      </x:c>
      <x:c r="D168" s="20" t="str">
        <x:v>10_LLM_Backbones_LowResource</x:v>
      </x:c>
      <x:c r="E168" s="20" t="str">
        <x:v>0</x:v>
      </x:c>
      <x:c r="F168" s="20" t="str">
        <x:v>0</x:v>
      </x:c>
      <x:c r="G168" s="20" t="str">
        <x:v>0</x:v>
      </x:c>
      <x:c r="H168" s="20" t="str">
        <x:v>1</x:v>
      </x:c>
    </x:row>
    <x:row r="169">
      <x:c r="A169" s="20" t="str">
        <x:v>lewis2020_bart_denoising_sequence</x:v>
      </x:c>
      <x:c r="B169" s="20" t="str">
        <x:v>2020</x:v>
      </x:c>
      <x:c r="C169" s="20" t="str">
        <x:v>BART: Denoising Sequence-to-Sequence Pre-training for Natural Language Generation, Translation, and Comprehension</x:v>
      </x:c>
      <x:c r="D169" s="20" t="str">
        <x:v>10_LLM_Backbones_LowResource</x:v>
      </x:c>
      <x:c r="E169" s="20" t="str">
        <x:v>0</x:v>
      </x:c>
      <x:c r="F169" s="20" t="str">
        <x:v>0</x:v>
      </x:c>
      <x:c r="G169" s="20" t="str">
        <x:v>0</x:v>
      </x:c>
      <x:c r="H169" s="20" t="str">
        <x:v>1</x:v>
      </x:c>
    </x:row>
    <x:row r="170">
      <x:c r="A170" s="20" t="str">
        <x:v>xue2021_mt5_massively_multilingual</x:v>
      </x:c>
      <x:c r="B170" s="20" t="str">
        <x:v>2021</x:v>
      </x:c>
      <x:c r="C170" s="20" t="str">
        <x:v>mT5: A Massively Multilingual Pre-trained Text-to-Text Transformer</x:v>
      </x:c>
      <x:c r="D170" s="20" t="str">
        <x:v>10_LLM_Backbones_LowResource</x:v>
      </x:c>
      <x:c r="E170" s="20" t="str">
        <x:v>0</x:v>
      </x:c>
      <x:c r="F170" s="20" t="str">
        <x:v>1</x:v>
      </x:c>
      <x:c r="G170" s="20" t="str">
        <x:v>0</x:v>
      </x:c>
      <x:c r="H170" s="20" t="str">
        <x:v>0</x:v>
      </x:c>
    </x:row>
    <x:row r="171">
      <x:c r="A171" s="20" t="str">
        <x:v>liu2020_multilingual_denoising_pre</x:v>
      </x:c>
      <x:c r="B171" s="20" t="str">
        <x:v>2020</x:v>
      </x:c>
      <x:c r="C171" s="20" t="str">
        <x:v>Multilingual Denoising Pre-training for Neural Machine Translation</x:v>
      </x:c>
      <x:c r="D171" s="20" t="str">
        <x:v>10_LLM_Backbones_LowResource</x:v>
      </x:c>
      <x:c r="E171" s="20" t="str">
        <x:v>0</x:v>
      </x:c>
      <x:c r="F171" s="20" t="str">
        <x:v>1</x:v>
      </x:c>
      <x:c r="G171" s="20" t="str">
        <x:v>0</x:v>
      </x:c>
      <x:c r="H171" s="20" t="str">
        <x:v>0</x:v>
      </x:c>
    </x:row>
    <x:row r="172">
      <x:c r="A172" s="20" t="str">
        <x:v>conneau2020_unsupervised_cross_lingual</x:v>
      </x:c>
      <x:c r="B172" s="20" t="str">
        <x:v>2020</x:v>
      </x:c>
      <x:c r="C172" s="20" t="str">
        <x:v>Unsupervised Cross-lingual Representation Learning at Scale</x:v>
      </x:c>
      <x:c r="D172" s="20" t="str">
        <x:v>10_LLM_Backbones_LowResource</x:v>
      </x:c>
      <x:c r="E172" s="20" t="str">
        <x:v>0</x:v>
      </x:c>
      <x:c r="F172" s="20" t="str">
        <x:v>1</x:v>
      </x:c>
      <x:c r="G172" s="20" t="str">
        <x:v>0</x:v>
      </x:c>
      <x:c r="H172" s="20" t="str">
        <x:v>0</x:v>
      </x:c>
    </x:row>
    <x:row r="173">
      <x:c r="A173" s="20" t="str">
        <x:v>pfeiffer2020_mad_x_adapter</x:v>
      </x:c>
      <x:c r="B173" s="20" t="str">
        <x:v>2020</x:v>
      </x:c>
      <x:c r="C173" s="20" t="str">
        <x:v>MAD-X: An Adapter-Based Framework for Multi-Task Cross-Lingual Transfer</x:v>
      </x:c>
      <x:c r="D173" s="20" t="str">
        <x:v>10_LLM_Backbones_LowResource</x:v>
      </x:c>
      <x:c r="E173" s="20" t="str">
        <x:v>0</x:v>
      </x:c>
      <x:c r="F173" s="20" t="str">
        <x:v>1</x:v>
      </x:c>
      <x:c r="G173" s="20" t="str">
        <x:v>0</x:v>
      </x:c>
      <x:c r="H173" s="20" t="str">
        <x:v>0</x:v>
      </x:c>
    </x:row>
    <x:row r="174">
      <x:c r="A174" s="20" t="str">
        <x:v>houlsby2019_parameter_efficient_transfer</x:v>
      </x:c>
      <x:c r="B174" s="20" t="str">
        <x:v>2019</x:v>
      </x:c>
      <x:c r="C174" s="20" t="str">
        <x:v>Parameter-Efficient Transfer Learning for NLP</x:v>
      </x:c>
      <x:c r="D174" s="20" t="str">
        <x:v>10_LLM_Backbones_LowResource</x:v>
      </x:c>
      <x:c r="E174" s="20" t="str">
        <x:v>0</x:v>
      </x:c>
      <x:c r="F174" s="20" t="str">
        <x:v>0</x:v>
      </x:c>
      <x:c r="G174" s="20" t="str">
        <x:v>0</x:v>
      </x:c>
      <x:c r="H174" s="20" t="str">
        <x:v>1</x:v>
      </x:c>
    </x:row>
    <x:row r="175">
      <x:c r="A175" s="20" t="str">
        <x:v>hu2022_lora_low_rank</x:v>
      </x:c>
      <x:c r="B175" s="20" t="str">
        <x:v>2022</x:v>
      </x:c>
      <x:c r="C175" s="20" t="str">
        <x:v>LoRA: Low-Rank Adaptation of Large Language Models</x:v>
      </x:c>
      <x:c r="D175" s="20" t="str">
        <x:v>10_LLM_Backbones_LowResource</x:v>
      </x:c>
      <x:c r="E175" s="20" t="str">
        <x:v>0</x:v>
      </x:c>
      <x:c r="F175" s="20" t="str">
        <x:v>0</x:v>
      </x:c>
      <x:c r="G175" s="20" t="str">
        <x:v>0</x:v>
      </x:c>
      <x:c r="H175" s="20" t="str">
        <x:v>1</x:v>
      </x:c>
    </x:row>
    <x:row r="176">
      <x:c r="A176" s="20" t="str">
        <x:v>joshi2020_state_fate_linguistic</x:v>
      </x:c>
      <x:c r="B176" s="20" t="str">
        <x:v>2020</x:v>
      </x:c>
      <x:c r="C176" s="20" t="str">
        <x:v>The State and Fate of Linguistic Diversity and Inclusion in the NLP World</x:v>
      </x:c>
      <x:c r="D176" s="20" t="str">
        <x:v>10_LLM_Backbones_LowResource</x:v>
      </x:c>
      <x:c r="E176" s="20" t="str">
        <x:v>0</x:v>
      </x:c>
      <x:c r="F176" s="20" t="str">
        <x:v>1</x:v>
      </x:c>
      <x:c r="G176" s="20" t="str">
        <x:v>0</x:v>
      </x:c>
      <x:c r="H176" s="20" t="str">
        <x:v>0</x:v>
      </x:c>
    </x:row>
    <x:row r="177">
      <x:c r="A177" s="20" t="str">
        <x:v>ruder2019_cross_lingual_word</x:v>
      </x:c>
      <x:c r="B177" s="20" t="str">
        <x:v>2019</x:v>
      </x:c>
      <x:c r="C177" s="20" t="str">
        <x:v>A Survey of Cross-lingual Word Embedding Models</x:v>
      </x:c>
      <x:c r="D177" s="20" t="str">
        <x:v>10_LLM_Backbones_LowResource</x:v>
      </x:c>
      <x:c r="E177" s="20" t="str">
        <x:v>0</x:v>
      </x:c>
      <x:c r="F177" s="20" t="str">
        <x:v>0</x:v>
      </x:c>
      <x:c r="G177" s="20" t="str">
        <x:v>0</x:v>
      </x:c>
      <x:c r="H177" s="20" t="str">
        <x:v>1</x:v>
      </x:c>
    </x:row>
    <x:row r="178">
      <x:c r="A178" s="20" t="str">
        <x:v>lauscher2020_zero_hero_limitations</x:v>
      </x:c>
      <x:c r="B178" s="20" t="str">
        <x:v>2020</x:v>
      </x:c>
      <x:c r="C178" s="20" t="str">
        <x:v>From Zero to Hero: On the Limitations of Zero-Shot Cross-Lingual Transfer with Multilingual Transformers</x:v>
      </x:c>
      <x:c r="D178" s="20" t="str">
        <x:v>10_LLM_Backbones_LowResource</x:v>
      </x:c>
      <x:c r="E178" s="20" t="str">
        <x:v>0</x:v>
      </x:c>
      <x:c r="F178" s="20" t="str">
        <x:v>0</x:v>
      </x:c>
      <x:c r="G178" s="20" t="str">
        <x:v>0</x:v>
      </x:c>
      <x:c r="H178" s="20" t="str">
        <x:v>1</x:v>
      </x:c>
    </x:row>
    <x:row r="179">
      <x:c r="A179" s="20" t="str">
        <x:v>touvron2023_llama_2_open</x:v>
      </x:c>
      <x:c r="B179" s="20" t="str">
        <x:v>2023</x:v>
      </x:c>
      <x:c r="C179" s="20" t="str">
        <x:v>Llama 2: Open Foundation and Fine-Tuned Chat Models</x:v>
      </x:c>
      <x:c r="D179" s="20" t="str">
        <x:v>10_LLM_Backbones_LowResource</x:v>
      </x:c>
      <x:c r="E179" s="20" t="str">
        <x:v>0</x:v>
      </x:c>
      <x:c r="F179" s="20" t="str">
        <x:v>0</x:v>
      </x:c>
      <x:c r="G179" s="20" t="str">
        <x:v>0</x:v>
      </x:c>
      <x:c r="H179" s="20" t="str">
        <x:v>1</x:v>
      </x:c>
    </x:row>
    <x:row r="180">
      <x:c r="A180" s="20" t="str">
        <x:v>dubey2024_llama_3_herd</x:v>
      </x:c>
      <x:c r="B180" s="20" t="str">
        <x:v>2024</x:v>
      </x:c>
      <x:c r="C180" s="20" t="str">
        <x:v>The Llama 3 Herd of Models</x:v>
      </x:c>
      <x:c r="D180" s="20" t="str">
        <x:v>10_LLM_Backbones_LowResource</x:v>
      </x:c>
      <x:c r="E180" s="20" t="str">
        <x:v>0</x:v>
      </x:c>
      <x:c r="F180" s="20" t="str">
        <x:v>0</x:v>
      </x:c>
      <x:c r="G180" s="20" t="str">
        <x:v>0</x:v>
      </x:c>
      <x:c r="H180" s="20" t="str">
        <x:v>1</x:v>
      </x:c>
    </x:row>
    <x:row r="181">
      <x:c r="A181" s="20" t="str">
        <x:v>yang2024_qwen2_5_technical</x:v>
      </x:c>
      <x:c r="B181" s="20" t="str">
        <x:v>2024</x:v>
      </x:c>
      <x:c r="C181" s="20" t="str">
        <x:v>Qwen2.5 Technical Report</x:v>
      </x:c>
      <x:c r="D181" s="20" t="str">
        <x:v>10_LLM_Backbones_LowResource</x:v>
      </x:c>
      <x:c r="E181" s="20" t="str">
        <x:v>0</x:v>
      </x:c>
      <x:c r="F181" s="20" t="str">
        <x:v>0</x:v>
      </x:c>
      <x:c r="G181" s="20" t="str">
        <x:v>0</x:v>
      </x:c>
      <x:c r="H181" s="20" t="str">
        <x:v>1</x:v>
      </x:c>
    </x:row>
    <x:row r="182">
      <x:c r="A182" s="20" t="str">
        <x:v>team2024_gemma_open_gemini</x:v>
      </x:c>
      <x:c r="B182" s="20" t="str">
        <x:v>2024</x:v>
      </x:c>
      <x:c r="C182" s="20" t="str">
        <x:v>Gemma: Open Models Based on Gemini Research and Technology</x:v>
      </x:c>
      <x:c r="D182" s="20" t="str">
        <x:v>10_LLM_Backbones_LowResource</x:v>
      </x:c>
      <x:c r="E182" s="20" t="str">
        <x:v>0</x:v>
      </x:c>
      <x:c r="F182" s="20" t="str">
        <x:v>0</x:v>
      </x:c>
      <x:c r="G182" s="20" t="str">
        <x:v>0</x:v>
      </x:c>
      <x:c r="H182" s="20" t="str">
        <x:v>1</x:v>
      </x:c>
    </x:row>
    <x:row r="183">
      <x:c r="A183" s="20" t="str">
        <x:v>team2024_gemma_2_improving</x:v>
      </x:c>
      <x:c r="B183" s="20" t="str">
        <x:v>2024</x:v>
      </x:c>
      <x:c r="C183" s="20" t="str">
        <x:v>Gemma 2: Improving Open Language Models at a Practical Size</x:v>
      </x:c>
      <x:c r="D183" s="20" t="str">
        <x:v>10_LLM_Backbones_LowResource</x:v>
      </x:c>
      <x:c r="E183" s="20" t="str">
        <x:v>0</x:v>
      </x:c>
      <x:c r="F183" s="20" t="str">
        <x:v>0</x:v>
      </x:c>
      <x:c r="G183" s="20" t="str">
        <x:v>0</x:v>
      </x:c>
      <x:c r="H183" s="20" t="str">
        <x:v>1</x:v>
      </x:c>
    </x:row>
    <x:row r="184">
      <x:c r="A184" s="20" t="str">
        <x:v>jiang2023_mistral_7b</x:v>
      </x:c>
      <x:c r="B184" s="20" t="str">
        <x:v>2023</x:v>
      </x:c>
      <x:c r="C184" s="20" t="str">
        <x:v>Mistral 7B</x:v>
      </x:c>
      <x:c r="D184" s="20" t="str">
        <x:v>10_LLM_Backbones_LowResource</x:v>
      </x:c>
      <x:c r="E184" s="20" t="str">
        <x:v>0</x:v>
      </x:c>
      <x:c r="F184" s="20" t="str">
        <x:v>0</x:v>
      </x:c>
      <x:c r="G184" s="20" t="str">
        <x:v>0</x:v>
      </x:c>
      <x:c r="H184" s="20" t="str">
        <x:v>1</x:v>
      </x:c>
    </x:row>
    <x:row r="185">
      <x:c r="A185" s="20" t="str">
        <x:v>dettmers2023_qlora_efficient_finetuning</x:v>
      </x:c>
      <x:c r="B185" s="20" t="str">
        <x:v>2023</x:v>
      </x:c>
      <x:c r="C185" s="20" t="str">
        <x:v>QLoRA: Efficient Finetuning of Quantized LLMs</x:v>
      </x:c>
      <x:c r="D185" s="20" t="str">
        <x:v>10_LLM_Backbones_LowResource</x:v>
      </x:c>
      <x:c r="E185" s="20" t="str">
        <x:v>0</x:v>
      </x:c>
      <x:c r="F185" s="20" t="str">
        <x:v>0</x:v>
      </x:c>
      <x:c r="G185" s="20" t="str">
        <x:v>0</x:v>
      </x:c>
      <x:c r="H185" s="20" t="str">
        <x:v>1</x:v>
      </x:c>
    </x:row>
    <x:row r="186">
      <x:c r="A186" s="20" t="str">
        <x:v>dettmers2022_llm_int8_8</x:v>
      </x:c>
      <x:c r="B186" s="20" t="str">
        <x:v>2022</x:v>
      </x:c>
      <x:c r="C186" s="20" t="str">
        <x:v>LLM.int8(): 8-bit Matrix Multiplication for Transformers at Scale</x:v>
      </x:c>
      <x:c r="D186" s="20" t="str">
        <x:v>10_LLM_Backbones_LowResource</x:v>
      </x:c>
      <x:c r="E186" s="20" t="str">
        <x:v>0</x:v>
      </x:c>
      <x:c r="F186" s="20" t="str">
        <x:v>0</x:v>
      </x:c>
      <x:c r="G186" s="20" t="str">
        <x:v>0</x:v>
      </x:c>
      <x:c r="H186" s="20" t="str">
        <x:v>1</x:v>
      </x:c>
    </x:row>
    <x:row r="187">
      <x:c r="A187" s="20" t="str">
        <x:v>johnson2016_mimic_iii_freely</x:v>
      </x:c>
      <x:c r="B187" s="20" t="str">
        <x:v>2016</x:v>
      </x:c>
      <x:c r="C187" s="20" t="str">
        <x:v>MIMIC-III, A Freely Accessible Critical Care Database</x:v>
      </x:c>
      <x:c r="D187" s="20" t="str">
        <x:v>11_Clinical_NLP_Datasets</x:v>
      </x:c>
      <x:c r="E187" s="20" t="str">
        <x:v>0</x:v>
      </x:c>
      <x:c r="F187" s="20" t="str">
        <x:v>0</x:v>
      </x:c>
      <x:c r="G187" s="20" t="str">
        <x:v>0</x:v>
      </x:c>
      <x:c r="H187" s="20" t="str">
        <x:v>1</x:v>
      </x:c>
    </x:row>
    <x:row r="188">
      <x:c r="A188" s="20" t="str">
        <x:v>johnson2023_mimic_iv_freely</x:v>
      </x:c>
      <x:c r="B188" s="20" t="str">
        <x:v>2023</x:v>
      </x:c>
      <x:c r="C188" s="20" t="str">
        <x:v>MIMIC-IV, A Freely Accessible Electronic Health Record Dataset</x:v>
      </x:c>
      <x:c r="D188" s="20" t="str">
        <x:v>11_Clinical_NLP_Datasets</x:v>
      </x:c>
      <x:c r="E188" s="20" t="str">
        <x:v>0</x:v>
      </x:c>
      <x:c r="F188" s="20" t="str">
        <x:v>0</x:v>
      </x:c>
      <x:c r="G188" s="20" t="str">
        <x:v>0</x:v>
      </x:c>
      <x:c r="H188" s="20" t="str">
        <x:v>1</x:v>
      </x:c>
    </x:row>
    <x:row r="189">
      <x:c r="A189" s="20" t="str">
        <x:v>irvin2019_chexpert_chest_radiograph</x:v>
      </x:c>
      <x:c r="B189" s="20" t="str">
        <x:v>2019</x:v>
      </x:c>
      <x:c r="C189" s="20" t="str">
        <x:v>CheXpert: A Large Chest Radiograph Dataset with Uncertainty Labels and Expert Comparison</x:v>
      </x:c>
      <x:c r="D189" s="20" t="str">
        <x:v>11_Clinical_NLP_Datasets</x:v>
      </x:c>
      <x:c r="E189" s="20" t="str">
        <x:v>0</x:v>
      </x:c>
      <x:c r="F189" s="20" t="str">
        <x:v>0</x:v>
      </x:c>
      <x:c r="G189" s="20" t="str">
        <x:v>0</x:v>
      </x:c>
      <x:c r="H189" s="20" t="str">
        <x:v>1</x:v>
      </x:c>
    </x:row>
    <x:row r="190">
      <x:c r="A190" s="20" t="str">
        <x:v>bustos2020_padchest_chest_x</x:v>
      </x:c>
      <x:c r="B190" s="20" t="str">
        <x:v>2020</x:v>
      </x:c>
      <x:c r="C190" s="20" t="str">
        <x:v>PadChest: A Large Chest X-Ray Image Dataset with Multi-label Annotated Reports</x:v>
      </x:c>
      <x:c r="D190" s="20" t="str">
        <x:v>11_Clinical_NLP_Datasets</x:v>
      </x:c>
      <x:c r="E190" s="20" t="str">
        <x:v>0</x:v>
      </x:c>
      <x:c r="F190" s="20" t="str">
        <x:v>0</x:v>
      </x:c>
      <x:c r="G190" s="20" t="str">
        <x:v>0</x:v>
      </x:c>
      <x:c r="H190" s="20" t="str">
        <x:v>1</x:v>
      </x:c>
    </x:row>
    <x:row r="191">
      <x:c r="A191" s="20" t="str">
        <x:v>demnerfushman2016_preparing_collection_radiology</x:v>
      </x:c>
      <x:c r="B191" s="20" t="str">
        <x:v>2016</x:v>
      </x:c>
      <x:c r="C191" s="20" t="str">
        <x:v>Preparing a Collection of Radiology Examinations for Distribution and Retrieval</x:v>
      </x:c>
      <x:c r="D191" s="20" t="str">
        <x:v>11_Clinical_NLP_Datasets</x:v>
      </x:c>
      <x:c r="E191" s="20" t="str">
        <x:v>0</x:v>
      </x:c>
      <x:c r="F191" s="20" t="str">
        <x:v>0</x:v>
      </x:c>
      <x:c r="G191" s="20" t="str">
        <x:v>0</x:v>
      </x:c>
      <x:c r="H191" s="20" t="str">
        <x:v>1</x:v>
      </x:c>
    </x:row>
    <x:row r="192">
      <x:c r="A192" s="20" t="str">
        <x:v>uzuner2011_2010_i2b2_va</x:v>
      </x:c>
      <x:c r="B192" s="20" t="str">
        <x:v>2011</x:v>
      </x:c>
      <x:c r="C192" s="20" t="str">
        <x:v>2010 i2b2/VA Challenge on Concepts, Assertions, and Relations in Clinical Text</x:v>
      </x:c>
      <x:c r="D192" s="20" t="str">
        <x:v>11_Clinical_NLP_Datasets</x:v>
      </x:c>
      <x:c r="E192" s="20" t="str">
        <x:v>0</x:v>
      </x:c>
      <x:c r="F192" s="20" t="str">
        <x:v>0</x:v>
      </x:c>
      <x:c r="G192" s="20" t="str">
        <x:v>0</x:v>
      </x:c>
      <x:c r="H192" s="20" t="str">
        <x:v>1</x:v>
      </x:c>
    </x:row>
    <x:row r="193">
      <x:c r="A193" s="20" t="str">
        <x:v>uzuner2007_evaluating_state_art</x:v>
      </x:c>
      <x:c r="B193" s="20" t="str">
        <x:v>2007</x:v>
      </x:c>
      <x:c r="C193" s="20" t="str">
        <x:v>Evaluating the State-of-the-Art in Automatic De-identification</x:v>
      </x:c>
      <x:c r="D193" s="20" t="str">
        <x:v>11_Clinical_NLP_Datasets</x:v>
      </x:c>
      <x:c r="E193" s="20" t="str">
        <x:v>0</x:v>
      </x:c>
      <x:c r="F193" s="20" t="str">
        <x:v>0</x:v>
      </x:c>
      <x:c r="G193" s="20" t="str">
        <x:v>0</x:v>
      </x:c>
      <x:c r="H193" s="20" t="str">
        <x:v>1</x:v>
      </x:c>
    </x:row>
    <x:row r="194">
      <x:c r="A194" s="20" t="str">
        <x:v>henry2020_2018_n2c2_shared</x:v>
      </x:c>
      <x:c r="B194" s="20" t="str">
        <x:v>2020</x:v>
      </x:c>
      <x:c r="C194" s="20" t="str">
        <x:v>2018 n2c2 Shared Task on Adverse Drug Events and Medication Extraction in Electronic Health Records</x:v>
      </x:c>
      <x:c r="D194" s="20" t="str">
        <x:v>11_Clinical_NLP_Datasets</x:v>
      </x:c>
      <x:c r="E194" s="20" t="str">
        <x:v>0</x:v>
      </x:c>
      <x:c r="F194" s="20" t="str">
        <x:v>0</x:v>
      </x:c>
      <x:c r="G194" s="20" t="str">
        <x:v>0</x:v>
      </x:c>
      <x:c r="H194" s="20" t="str">
        <x:v>1</x:v>
      </x:c>
    </x:row>
    <x:row r="195">
      <x:c r="A195" s="20" t="str">
        <x:v>soysal2018_clamp_toolkit_efficiently</x:v>
      </x:c>
      <x:c r="B195" s="20" t="str">
        <x:v>2018</x:v>
      </x:c>
      <x:c r="C195" s="20" t="str">
        <x:v>CLAMP: A Toolkit for Efficiently Building Customized Clinical Natural Language Processing Pipelines</x:v>
      </x:c>
      <x:c r="D195" s="20" t="str">
        <x:v>11_Clinical_NLP_Datasets</x:v>
      </x:c>
      <x:c r="E195" s="20" t="str">
        <x:v>0</x:v>
      </x:c>
      <x:c r="F195" s="20" t="str">
        <x:v>0</x:v>
      </x:c>
      <x:c r="G195" s="20" t="str">
        <x:v>0</x:v>
      </x:c>
      <x:c r="H195" s="20" t="str">
        <x:v>1</x:v>
      </x:c>
    </x:row>
    <x:row r="196">
      <x:c r="A196" s="20" t="str">
        <x:v>savova2010_mayo_clinical_text</x:v>
      </x:c>
      <x:c r="B196" s="20" t="str">
        <x:v>2010</x:v>
      </x:c>
      <x:c r="C196" s="20" t="str">
        <x:v>Mayo Clinical Text Analysis and Knowledge Extraction System (cTAKES): Architecture, Component Evaluation and Applications</x:v>
      </x:c>
      <x:c r="D196" s="20" t="str">
        <x:v>11_Clinical_NLP_Datasets</x:v>
      </x:c>
      <x:c r="E196" s="20" t="str">
        <x:v>0</x:v>
      </x:c>
      <x:c r="F196" s="20" t="str">
        <x:v>0</x:v>
      </x:c>
      <x:c r="G196" s="20" t="str">
        <x:v>0</x:v>
      </x:c>
      <x:c r="H196" s="20" t="str">
        <x:v>1</x:v>
      </x:c>
    </x:row>
    <x:row r="197">
      <x:c r="A197" s="20" t="str">
        <x:v>aronson2010_overview_metamap_historical</x:v>
      </x:c>
      <x:c r="B197" s="20" t="str">
        <x:v>2010</x:v>
      </x:c>
      <x:c r="C197" s="20" t="str">
        <x:v>An Overview of MetaMap: Historical Perspective and Recent Advances</x:v>
      </x:c>
      <x:c r="D197" s="20" t="str">
        <x:v>11_Clinical_NLP_Datasets</x:v>
      </x:c>
      <x:c r="E197" s="20" t="str">
        <x:v>0</x:v>
      </x:c>
      <x:c r="F197" s="20" t="str">
        <x:v>0</x:v>
      </x:c>
      <x:c r="G197" s="20" t="str">
        <x:v>0</x:v>
      </x:c>
      <x:c r="H197" s="20" t="str">
        <x:v>1</x:v>
      </x:c>
    </x:row>
    <x:row r="198">
      <x:c r="A198" s="20" t="str">
        <x:v>luo2022_natural_language_processing</x:v>
      </x:c>
      <x:c r="B198" s="20" t="str">
        <x:v>2022</x:v>
      </x:c>
      <x:c r="C198" s="20" t="str">
        <x:v>Natural Language Processing for EHR-Based Computational Phenotyping</x:v>
      </x:c>
      <x:c r="D198" s="20" t="str">
        <x:v>11_Clinical_NLP_Datasets</x:v>
      </x:c>
      <x:c r="E198" s="20" t="str">
        <x:v>0</x:v>
      </x:c>
      <x:c r="F198" s="20" t="str">
        <x:v>0</x:v>
      </x:c>
      <x:c r="G198" s="20" t="str">
        <x:v>0</x:v>
      </x:c>
      <x:c r="H198" s="20" t="str">
        <x:v>1</x:v>
      </x:c>
    </x:row>
    <x:row r="199">
      <x:c r="A199" s="20" t="str">
        <x:v>wang2018_clinical_information_extraction</x:v>
      </x:c>
      <x:c r="B199" s="20" t="str">
        <x:v>2018</x:v>
      </x:c>
      <x:c r="C199" s="20" t="str">
        <x:v>Clinical Information Extraction Applications: A Literature Review</x:v>
      </x:c>
      <x:c r="D199" s="20" t="str">
        <x:v>11_Clinical_NLP_Datasets</x:v>
      </x:c>
      <x:c r="E199" s="20" t="str">
        <x:v>0</x:v>
      </x:c>
      <x:c r="F199" s="20" t="str">
        <x:v>0</x:v>
      </x:c>
      <x:c r="G199" s="20" t="str">
        <x:v>0</x:v>
      </x:c>
      <x:c r="H199" s="20" t="str">
        <x:v>1</x:v>
      </x:c>
    </x:row>
    <x:row r="200">
      <x:c r="A200" s="20" t="str">
        <x:v>jensen2012_mining_electronic_health</x:v>
      </x:c>
      <x:c r="B200" s="20" t="str">
        <x:v>2012</x:v>
      </x:c>
      <x:c r="C200" s="20" t="str">
        <x:v>Mining Electronic Health Records: Towards Better Research Applications and Clinical Care</x:v>
      </x:c>
      <x:c r="D200" s="20" t="str">
        <x:v>11_Clinical_NLP_Datasets</x:v>
      </x:c>
      <x:c r="E200" s="20" t="str">
        <x:v>0</x:v>
      </x:c>
      <x:c r="F200" s="20" t="str">
        <x:v>0</x:v>
      </x:c>
      <x:c r="G200" s="20" t="str">
        <x:v>0</x:v>
      </x:c>
      <x:c r="H200" s="20" t="str">
        <x:v>1</x:v>
      </x:c>
    </x:row>
    <x:row r="201">
      <x:c r="A201" s="20" t="str">
        <x:v>shickel2018_deep_ehr_recent</x:v>
      </x:c>
      <x:c r="B201" s="20" t="str">
        <x:v>2018</x:v>
      </x:c>
      <x:c r="C201" s="20" t="str">
        <x:v>Deep EHR: A Survey of Recent Advances in Deep Learning Techniques for Electronic Health Record Analysis</x:v>
      </x:c>
      <x:c r="D201" s="20" t="str">
        <x:v>11_Clinical_NLP_Datasets</x:v>
      </x:c>
      <x:c r="E201" s="20" t="str">
        <x:v>0</x:v>
      </x:c>
      <x:c r="F201" s="20" t="str">
        <x:v>0</x:v>
      </x:c>
      <x:c r="G201" s="20" t="str">
        <x:v>0</x:v>
      </x:c>
      <x:c r="H201" s="20" t="str">
        <x:v>1</x:v>
      </x:c>
    </x:row>
    <x:row r="202">
      <x:c r="A202" s="20" t="str">
        <x:v>wallace2016_extracting_pico_sentences</x:v>
      </x:c>
      <x:c r="B202" s="20" t="str">
        <x:v>2016</x:v>
      </x:c>
      <x:c r="C202" s="20" t="str">
        <x:v>Extracting PICO Sentences from Clinical Trial Reports Using Supervised Distant Supervision</x:v>
      </x:c>
      <x:c r="D202" s="20" t="str">
        <x:v>12_Clinical_Summarization_Health_Literacy</x:v>
      </x:c>
      <x:c r="E202" s="20" t="str">
        <x:v>0</x:v>
      </x:c>
      <x:c r="F202" s="20" t="str">
        <x:v>0</x:v>
      </x:c>
      <x:c r="G202" s="20" t="str">
        <x:v>0</x:v>
      </x:c>
      <x:c r="H202" s="20" t="str">
        <x:v>1</x:v>
      </x:c>
    </x:row>
    <x:row r="203">
      <x:c r="A203" s="20" t="str">
        <x:v>marshall2015_automating_risk_bias</x:v>
      </x:c>
      <x:c r="B203" s="20" t="str">
        <x:v>2015</x:v>
      </x:c>
      <x:c r="C203" s="20" t="str">
        <x:v>Automating Risk of Bias Assessment for Clinical Trials</x:v>
      </x:c>
      <x:c r="D203" s="20" t="str">
        <x:v>12_Clinical_Summarization_Health_Literacy</x:v>
      </x:c>
      <x:c r="E203" s="20" t="str">
        <x:v>0</x:v>
      </x:c>
      <x:c r="F203" s="20" t="str">
        <x:v>0</x:v>
      </x:c>
      <x:c r="G203" s="20" t="str">
        <x:v>0</x:v>
      </x:c>
      <x:c r="H203" s="20" t="str">
        <x:v>1</x:v>
      </x:c>
    </x:row>
    <x:row r="204">
      <x:c r="A204" s="20" t="str">
        <x:v>lehman2019_inferring_which_medical</x:v>
      </x:c>
      <x:c r="B204" s="20" t="str">
        <x:v>2019</x:v>
      </x:c>
      <x:c r="C204" s="20" t="str">
        <x:v>Inferring Which Medical Treatments Work from Reports of Clinical Trials</x:v>
      </x:c>
      <x:c r="D204" s="20" t="str">
        <x:v>12_Clinical_Summarization_Health_Literacy</x:v>
      </x:c>
      <x:c r="E204" s="20" t="str">
        <x:v>0</x:v>
      </x:c>
      <x:c r="F204" s="20" t="str">
        <x:v>0</x:v>
      </x:c>
      <x:c r="G204" s="20" t="str">
        <x:v>0</x:v>
      </x:c>
      <x:c r="H204" s="20" t="str">
        <x:v>1</x:v>
      </x:c>
    </x:row>
    <x:row r="205">
      <x:c r="A205" s="20" t="str">
        <x:v>wallace2012_deploying_interactive_machine</x:v>
      </x:c>
      <x:c r="B205" s="20" t="str">
        <x:v>2012</x:v>
      </x:c>
      <x:c r="C205" s="20" t="str">
        <x:v>Deploying an Interactive Machine Learning System in an Evidence-based Practice Center</x:v>
      </x:c>
      <x:c r="D205" s="20" t="str">
        <x:v>12_Clinical_Summarization_Health_Literacy</x:v>
      </x:c>
      <x:c r="E205" s="20" t="str">
        <x:v>0</x:v>
      </x:c>
      <x:c r="F205" s="20" t="str">
        <x:v>0</x:v>
      </x:c>
      <x:c r="G205" s="20" t="str">
        <x:v>0</x:v>
      </x:c>
      <x:c r="H205" s="20" t="str">
        <x:v>1</x:v>
      </x:c>
    </x:row>
    <x:row r="206">
      <x:c r="A206" s="20" t="str">
        <x:v>mishra2014_text_summarization_biomedical</x:v>
      </x:c>
      <x:c r="B206" s="20" t="str">
        <x:v>2014</x:v>
      </x:c>
      <x:c r="C206" s="20" t="str">
        <x:v>Text Summarization in the Biomedical Domain: A Systematic Review of Recent Research</x:v>
      </x:c>
      <x:c r="D206" s="20" t="str">
        <x:v>12_Clinical_Summarization_Health_Literacy</x:v>
      </x:c>
      <x:c r="E206" s="20" t="str">
        <x:v>0</x:v>
      </x:c>
      <x:c r="F206" s="20" t="str">
        <x:v>0</x:v>
      </x:c>
      <x:c r="G206" s="20" t="str">
        <x:v>0</x:v>
      </x:c>
      <x:c r="H206" s="20" t="str">
        <x:v>1</x:v>
      </x:c>
    </x:row>
    <x:row r="207">
      <x:c r="A207" s="20" t="str">
        <x:v>afantenos2005_summarization_medical_documents</x:v>
      </x:c>
      <x:c r="B207" s="20" t="str">
        <x:v>2005</x:v>
      </x:c>
      <x:c r="C207" s="20" t="str">
        <x:v>Summarization from Medical Documents: A Survey</x:v>
      </x:c>
      <x:c r="D207" s="20" t="str">
        <x:v>12_Clinical_Summarization_Health_Literacy</x:v>
      </x:c>
      <x:c r="E207" s="20" t="str">
        <x:v>0</x:v>
      </x:c>
      <x:c r="F207" s="20" t="str">
        <x:v>0</x:v>
      </x:c>
      <x:c r="G207" s="20" t="str">
        <x:v>0</x:v>
      </x:c>
      <x:c r="H207" s="20" t="str">
        <x:v>1</x:v>
      </x:c>
    </x:row>
    <x:row r="208">
      <x:c r="A208" s="20" t="str">
        <x:v>demnerfushman2007_answering_clinical_questions</x:v>
      </x:c>
      <x:c r="B208" s="20" t="str">
        <x:v>2007</x:v>
      </x:c>
      <x:c r="C208" s="20" t="str">
        <x:v>Answering Clinical Questions with Knowledge-Based and Statistical Techniques</x:v>
      </x:c>
      <x:c r="D208" s="20" t="str">
        <x:v>12_Clinical_Summarization_Health_Literacy</x:v>
      </x:c>
      <x:c r="E208" s="20" t="str">
        <x:v>0</x:v>
      </x:c>
      <x:c r="F208" s="20" t="str">
        <x:v>0</x:v>
      </x:c>
      <x:c r="G208" s="20" t="str">
        <x:v>0</x:v>
      </x:c>
      <x:c r="H208" s="20" t="str">
        <x:v>1</x:v>
      </x:c>
    </x:row>
    <x:row r="209">
      <x:c r="A209" s="20" t="str">
        <x:v>nallapati2016_abstractive_text_summarization</x:v>
      </x:c>
      <x:c r="B209" s="20" t="str">
        <x:v>2016</x:v>
      </x:c>
      <x:c r="C209" s="20" t="str">
        <x:v>Abstractive Text Summarization Using Sequence-to-Sequence RNNs and Beyond</x:v>
      </x:c>
      <x:c r="D209" s="20" t="str">
        <x:v>12_Clinical_Summarization_Health_Literacy</x:v>
      </x:c>
      <x:c r="E209" s="20" t="str">
        <x:v>0</x:v>
      </x:c>
      <x:c r="F209" s="20" t="str">
        <x:v>0</x:v>
      </x:c>
      <x:c r="G209" s="20" t="str">
        <x:v>0</x:v>
      </x:c>
      <x:c r="H209" s="20" t="str">
        <x:v>1</x:v>
      </x:c>
    </x:row>
    <x:row r="210">
      <x:c r="A210" s="20" t="str">
        <x:v>see2017_get_point_summarization</x:v>
      </x:c>
      <x:c r="B210" s="20" t="str">
        <x:v>2017</x:v>
      </x:c>
      <x:c r="C210" s="20" t="str">
        <x:v>Get To The Point: Summarization with Pointer-Generator Networks</x:v>
      </x:c>
      <x:c r="D210" s="20" t="str">
        <x:v>12_Clinical_Summarization_Health_Literacy</x:v>
      </x:c>
      <x:c r="E210" s="20" t="str">
        <x:v>0</x:v>
      </x:c>
      <x:c r="F210" s="20" t="str">
        <x:v>0</x:v>
      </x:c>
      <x:c r="G210" s="20" t="str">
        <x:v>0</x:v>
      </x:c>
      <x:c r="H210" s="20" t="str">
        <x:v>1</x:v>
      </x:c>
    </x:row>
    <x:row r="211">
      <x:c r="A211" s="20" t="str">
        <x:v>narayan2018_don_t_give</x:v>
      </x:c>
      <x:c r="B211" s="20" t="str">
        <x:v>2018</x:v>
      </x:c>
      <x:c r="C211" s="20" t="str">
        <x:v>Don't Give Me the Details, Just the Summary! Topic-Aware Convolutional Neural Networks for Extreme Summarization</x:v>
      </x:c>
      <x:c r="D211" s="20" t="str">
        <x:v>12_Clinical_Summarization_Health_Literacy</x:v>
      </x:c>
      <x:c r="E211" s="20" t="str">
        <x:v>0</x:v>
      </x:c>
      <x:c r="F211" s="20" t="str">
        <x:v>0</x:v>
      </x:c>
      <x:c r="G211" s="20" t="str">
        <x:v>0</x:v>
      </x:c>
      <x:c r="H211" s="20" t="str">
        <x:v>1</x:v>
      </x:c>
    </x:row>
    <x:row r="212">
      <x:c r="A212" s="20" t="str">
        <x:v>grusky2018_newsroom_1_3</x:v>
      </x:c>
      <x:c r="B212" s="20" t="str">
        <x:v>2018</x:v>
      </x:c>
      <x:c r="C212" s="20" t="str">
        <x:v>Newsroom: A Dataset of 1.3 Million Summaries with Diverse Extractive Strategies</x:v>
      </x:c>
      <x:c r="D212" s="20" t="str">
        <x:v>12_Clinical_Summarization_Health_Literacy</x:v>
      </x:c>
      <x:c r="E212" s="20" t="str">
        <x:v>0</x:v>
      </x:c>
      <x:c r="F212" s="20" t="str">
        <x:v>0</x:v>
      </x:c>
      <x:c r="G212" s="20" t="str">
        <x:v>0</x:v>
      </x:c>
      <x:c r="H212" s="20" t="str">
        <x:v>1</x:v>
      </x:c>
    </x:row>
    <x:row r="213">
      <x:c r="A213" s="20" t="str">
        <x:v>zhang2020_pegasus_pre_training</x:v>
      </x:c>
      <x:c r="B213" s="20" t="str">
        <x:v>2020</x:v>
      </x:c>
      <x:c r="C213" s="20" t="str">
        <x:v>PEGASUS: Pre-training with Extracted Gap-sentences for Abstractive Summarization</x:v>
      </x:c>
      <x:c r="D213" s="20" t="str">
        <x:v>12_Clinical_Summarization_Health_Literacy</x:v>
      </x:c>
      <x:c r="E213" s="20" t="str">
        <x:v>0</x:v>
      </x:c>
      <x:c r="F213" s="20" t="str">
        <x:v>0</x:v>
      </x:c>
      <x:c r="G213" s="20" t="str">
        <x:v>0</x:v>
      </x:c>
      <x:c r="H213" s="20" t="str">
        <x:v>1</x:v>
      </x:c>
    </x:row>
    <x:row r="214">
      <x:c r="A214" s="20" t="str">
        <x:v>gidiotis2020_divide_conquer_summarization</x:v>
      </x:c>
      <x:c r="B214" s="20" t="str">
        <x:v>2020</x:v>
      </x:c>
      <x:c r="C214" s="20" t="str">
        <x:v>A Divide-and-Conquer Approach to the Summarization of Long Documents</x:v>
      </x:c>
      <x:c r="D214" s="20" t="str">
        <x:v>12_Clinical_Summarization_Health_Literacy</x:v>
      </x:c>
      <x:c r="E214" s="20" t="str">
        <x:v>0</x:v>
      </x:c>
      <x:c r="F214" s="20" t="str">
        <x:v>0</x:v>
      </x:c>
      <x:c r="G214" s="20" t="str">
        <x:v>0</x:v>
      </x:c>
      <x:c r="H214" s="20" t="str">
        <x:v>1</x:v>
      </x:c>
    </x:row>
    <x:row r="215">
      <x:c r="A215" s="20" t="str">
        <x:v>cohan2018_discourse_aware_attention</x:v>
      </x:c>
      <x:c r="B215" s="20" t="str">
        <x:v>2018</x:v>
      </x:c>
      <x:c r="C215" s="20" t="str">
        <x:v>A Discourse-Aware Attention Model for Abstractive Summarization of Long Documents</x:v>
      </x:c>
      <x:c r="D215" s="20" t="str">
        <x:v>12_Clinical_Summarization_Health_Literacy</x:v>
      </x:c>
      <x:c r="E215" s="20" t="str">
        <x:v>0</x:v>
      </x:c>
      <x:c r="F215" s="20" t="str">
        <x:v>0</x:v>
      </x:c>
      <x:c r="G215" s="20" t="str">
        <x:v>0</x:v>
      </x:c>
      <x:c r="H215" s="20" t="str">
        <x:v>1</x:v>
      </x:c>
    </x:row>
    <x:row r="216">
      <x:c r="A216" s="20" t="str">
        <x:v>sotudeh2019_generating_extended_summaries</x:v>
      </x:c>
      <x:c r="B216" s="20" t="str">
        <x:v>2019</x:v>
      </x:c>
      <x:c r="C216" s="20" t="str">
        <x:v>On Generating Extended Summaries of Long Documents</x:v>
      </x:c>
      <x:c r="D216" s="20" t="str">
        <x:v>12_Clinical_Summarization_Health_Literacy</x:v>
      </x:c>
      <x:c r="E216" s="20" t="str">
        <x:v>0</x:v>
      </x:c>
      <x:c r="F216" s="20" t="str">
        <x:v>0</x:v>
      </x:c>
      <x:c r="G216" s="20" t="str">
        <x:v>0</x:v>
      </x:c>
      <x:c r="H216" s="20" t="str">
        <x:v>1</x:v>
      </x:c>
    </x:row>
  </x:sheetData>
  <x:pageMargins left="0.7" right="0.7" top="0.75" bottom="0.75" header="0.3" footer="0.3"/>
  <x:tableParts count="1">
    <x:tablePart xmlns:r="http://schemas.openxmlformats.org/officeDocument/2006/relationships" r:id="R8cf5971976cb4124"/>
  </x:tableParts>
</x:worksheet>
</file>

<file path=xl/worksheets/sheet6.xml><?xml version="1.0" encoding="utf-8"?>
<x:worksheet xmlns:x="http://schemas.openxmlformats.org/spreadsheetml/2006/main">
  <x:sheetFormatPr defaultRowHeight="15"/>
  <x:cols>
    <x:col min="1" max="1" width="16" hidden="0" customWidth="1"/>
    <x:col min="2" max="2" width="16" hidden="0" customWidth="1"/>
  </x:cols>
  <x:sheetData>
    <x:row r="1">
      <x:c r="A1" s="24" t="str">
        <x:v>collection_name</x:v>
      </x:c>
      <x:c r="B1" s="24" t="str">
        <x:v>description</x:v>
      </x:c>
    </x:row>
    <x:row r="2">
      <x:c r="A2" s="20" t="str">
        <x:v>00_To_Verify</x:v>
      </x:c>
      <x:c r="B2" s="20" t="str">
        <x:v>Records pending DOI/Crossref/ACL/arXiv/PubMed verification or PDF attachment</x:v>
      </x:c>
    </x:row>
    <x:row r="3">
      <x:c r="A3" s="20" t="str">
        <x:v>01_Core_Clinical_TS</x:v>
      </x:c>
      <x:c r="B3" s="20" t="str">
        <x:v>Medical/clinical text simplification and patient-facing explanations</x:v>
      </x:c>
    </x:row>
    <x:row r="4">
      <x:c r="A4" s="20" t="str">
        <x:v>02_Adjacent_Multilingual_TS</x:v>
      </x:c>
      <x:c r="B4" s="20" t="str">
        <x:v>Multilingual/cross-lingual/low-resource text simplification</x:v>
      </x:c>
    </x:row>
    <x:row r="5">
      <x:c r="A5" s="20" t="str">
        <x:v>03_Adjacent_Bangla_NLP</x:v>
      </x:c>
      <x:c r="B5" s="20" t="str">
        <x:v>Bangla/Bengali healthcare NLP, Bangla resources, Indic transfer</x:v>
      </x:c>
    </x:row>
    <x:row r="6">
      <x:c r="A6" s="20" t="str">
        <x:v>04_Factuality_Methods</x:v>
      </x:c>
      <x:c r="B6" s="20" t="str">
        <x:v>Factuality, faithfulness, hallucination, attribution, fact checking</x:v>
      </x:c>
    </x:row>
    <x:row r="7">
      <x:c r="A7" s="20" t="str">
        <x:v>05_Constrained_Decoding</x:v>
      </x:c>
      <x:c r="B7" s="20" t="str">
        <x:v>Lexically constrained, logic-constrained, and controlled generation</x:v>
      </x:c>
    </x:row>
    <x:row r="8">
      <x:c r="A8" s="20" t="str">
        <x:v>06_RAG_KG_Medical</x:v>
      </x:c>
      <x:c r="B8" s="20" t="str">
        <x:v>RAG, KG, graph, medical QA, terminology, clinical grounding</x:v>
      </x:c>
    </x:row>
    <x:row r="9">
      <x:c r="A9" s="20" t="str">
        <x:v>07_Medical_NLI</x:v>
      </x:c>
      <x:c r="B9" s="20" t="str">
        <x:v>Clinical/medical NLI, XNLI/IndicXNLI, biomedical fact verification</x:v>
      </x:c>
    </x:row>
    <x:row r="10">
      <x:c r="A10" s="20" t="str">
        <x:v>07_Evaluation_Methods</x:v>
      </x:c>
      <x:c r="B10" s="20" t="str">
        <x:v>Readability, automatic metrics, human evaluation, agreement</x:v>
      </x:c>
    </x:row>
    <x:row r="11">
      <x:c r="A11" s="20" t="str">
        <x:v>08_Systematic_Review_Methods</x:v>
      </x:c>
      <x:c r="B11" s="20" t="str">
        <x:v>PRISMA, PRISMA-S, SWiM, GRADE, RoB, AMSTAR, bibliometrics</x:v>
      </x:c>
    </x:row>
    <x:row r="12">
      <x:c r="A12" s="20" t="str">
        <x:v>10_LLM_Backbones_LowResource</x:v>
      </x:c>
      <x:c r="B12" s="20" t="str">
        <x:v>LLM backbones, multilingual transfer, adapters, quantization</x:v>
      </x:c>
    </x:row>
    <x:row r="13">
      <x:c r="A13" s="20" t="str">
        <x:v>11_Clinical_NLP_Datasets</x:v>
      </x:c>
      <x:c r="B13" s="20" t="str">
        <x:v>MIMIC, clinical corpora, clinical NLP toolkits/resources</x:v>
      </x:c>
    </x:row>
    <x:row r="14">
      <x:c r="A14" s="20" t="str">
        <x:v>12_Clinical_Summarization_Health_Literacy</x:v>
      </x:c>
      <x:c r="B14" s="20" t="str">
        <x:v>Biomedical summarization, lay summarization, health literacy</x:v>
      </x:c>
    </x:row>
  </x:sheetData>
  <x:pageMargins left="0.7" right="0.7" top="0.75" bottom="0.75" header="0.3" footer="0.3"/>
  <x:tableParts count="1">
    <x:tablePart xmlns:r="http://schemas.openxmlformats.org/officeDocument/2006/relationships" r:id="R23877c56ace84405"/>
  </x:tableParts>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16" hidden="0" customWidth="1"/>
  </x:cols>
  <x:sheetData>
    <x:row r="1">
      <x:c r="A1" s="24" t="str">
        <x:v>tag</x:v>
      </x:c>
      <x:c r="B1" s="24" t="str">
        <x:v>meaning</x:v>
      </x:c>
      <x:c r="C1" s="24" t="str">
        <x:v>suggested_zotero_color</x:v>
      </x:c>
    </x:row>
    <x:row r="2">
      <x:c r="A2" s="20" t="str">
        <x:v>factuality</x:v>
      </x:c>
      <x:c r="B2" s="20" t="str">
        <x:v>Paper proposes/evaluates factuality, faithfulness, hallucination, or attribution</x:v>
      </x:c>
      <x:c r="C2" s="20" t="str">
        <x:v>red</x:v>
      </x:c>
    </x:row>
    <x:row r="3">
      <x:c r="A3" s="20" t="str">
        <x:v>readability</x:v>
      </x:c>
      <x:c r="B3" s="20" t="str">
        <x:v>Paper addresses readability assessment/control</x:v>
      </x:c>
      <x:c r="C3" s="20" t="str">
        <x:v>orange</x:v>
      </x:c>
    </x:row>
    <x:row r="4">
      <x:c r="A4" s="20" t="str">
        <x:v>bangla</x:v>
      </x:c>
      <x:c r="B4" s="20" t="str">
        <x:v>Direct Bangla/Bengali relevance</x:v>
      </x:c>
      <x:c r="C4" s="20" t="str">
        <x:v>green</x:v>
      </x:c>
    </x:row>
    <x:row r="5">
      <x:c r="A5" s="20" t="str">
        <x:v>indic</x:v>
      </x:c>
      <x:c r="B5" s="20" t="str">
        <x:v>Indic-language relevance beyond Bangla</x:v>
      </x:c>
      <x:c r="C5" s="20" t="str">
        <x:v>green</x:v>
      </x:c>
    </x:row>
    <x:row r="6">
      <x:c r="A6" s="20" t="str">
        <x:v>multilingual</x:v>
      </x:c>
      <x:c r="B6" s="20" t="str">
        <x:v>Two or more languages or cross-lingual transfer</x:v>
      </x:c>
      <x:c r="C6" s="20" t="str">
        <x:v>blue</x:v>
      </x:c>
    </x:row>
    <x:row r="7">
      <x:c r="A7" s="20" t="str">
        <x:v>low-resource</x:v>
      </x:c>
      <x:c r="B7" s="20" t="str">
        <x:v>Low-resource setting or transfer method</x:v>
      </x:c>
      <x:c r="C7" s="20" t="str">
        <x:v>purple</x:v>
      </x:c>
    </x:row>
    <x:row r="8">
      <x:c r="A8" s="20" t="str">
        <x:v>ner</x:v>
      </x:c>
      <x:c r="B8" s="20" t="str">
        <x:v>Named entity recognition or entity extraction</x:v>
      </x:c>
      <x:c r="C8" s="20" t="str">
        <x:v>teal</x:v>
      </x:c>
    </x:row>
    <x:row r="9">
      <x:c r="A9" s="20" t="str">
        <x:v>nli</x:v>
      </x:c>
      <x:c r="B9" s="20" t="str">
        <x:v>Natural language inference or entailment</x:v>
      </x:c>
      <x:c r="C9" s="20" t="str">
        <x:v>teal</x:v>
      </x:c>
    </x:row>
    <x:row r="10">
      <x:c r="A10" s="20" t="str">
        <x:v>rag</x:v>
      </x:c>
      <x:c r="B10" s="20" t="str">
        <x:v>Retrieval-augmented generation</x:v>
      </x:c>
      <x:c r="C10" s="20" t="str">
        <x:v>teal</x:v>
      </x:c>
    </x:row>
    <x:row r="11">
      <x:c r="A11" s="20" t="str">
        <x:v>graph</x:v>
      </x:c>
      <x:c r="B11" s="20" t="str">
        <x:v>Knowledge graph, fact graph, ontology, graph grounding</x:v>
      </x:c>
      <x:c r="C11" s="20" t="str">
        <x:v>teal</x:v>
      </x:c>
    </x:row>
    <x:row r="12">
      <x:c r="A12" s="20" t="str">
        <x:v>constrained-decoding</x:v>
      </x:c>
      <x:c r="B12" s="20" t="str">
        <x:v>Decoding-time lexical/logic/control constraints</x:v>
      </x:c>
      <x:c r="C12" s="20" t="str">
        <x:v>pink</x:v>
      </x:c>
    </x:row>
    <x:row r="13">
      <x:c r="A13" s="20" t="str">
        <x:v>mt5</x:v>
      </x:c>
      <x:c r="B13" s="20" t="str">
        <x:v>mT5 or text-to-text multilingual seq2seq backbone</x:v>
      </x:c>
      <x:c r="C13" s="20" t="str">
        <x:v>gray</x:v>
      </x:c>
    </x:row>
    <x:row r="14">
      <x:c r="A14" s="20" t="str">
        <x:v>llm</x:v>
      </x:c>
      <x:c r="B14" s="20" t="str">
        <x:v>Large language model baseline or method</x:v>
      </x:c>
      <x:c r="C14" s="20" t="str">
        <x:v>gray</x:v>
      </x:c>
    </x:row>
    <x:row r="15">
      <x:c r="A15" s="20" t="str">
        <x:v>expert-validated</x:v>
      </x:c>
      <x:c r="B15" s="20" t="str">
        <x:v>Expert/clinician/human-validated dataset or evaluation</x:v>
      </x:c>
      <x:c r="C15" s="20" t="str">
        <x:v>gold</x:v>
      </x:c>
    </x:row>
    <x:row r="16">
      <x:c r="A16" s="20" t="str">
        <x:v>synthetic</x:v>
      </x:c>
      <x:c r="B16" s="20" t="str">
        <x:v>Synthetic, LLM-generated, auto-aligned, or weakly supervised data</x:v>
      </x:c>
      <x:c r="C16" s="20" t="str">
        <x:v>gold</x:v>
      </x:c>
    </x:row>
    <x:row r="17">
      <x:c r="A17" s="20" t="str">
        <x:v>human-eval</x:v>
      </x:c>
      <x:c r="B17" s="20" t="str">
        <x:v>Reports human evaluation</x:v>
      </x:c>
      <x:c r="C17" s="20" t="str">
        <x:v>gold</x:v>
      </x:c>
    </x:row>
    <x:row r="18">
      <x:c r="A18" s="20" t="str">
        <x:v>systematic-review</x:v>
      </x:c>
      <x:c r="B18" s="20" t="str">
        <x:v>Survey/systematic review/methodology paper</x:v>
      </x:c>
      <x:c r="C18" s="20" t="str">
        <x:v>navy</x:v>
      </x:c>
    </x:row>
    <x:row r="19">
      <x:c r="A19" s="20" t="str">
        <x:v>dataset</x:v>
      </x:c>
      <x:c r="B19" s="20" t="str">
        <x:v>Introduces or relies on a dataset/resource</x:v>
      </x:c>
      <x:c r="C19" s="20" t="str">
        <x:v>brown</x:v>
      </x:c>
    </x:row>
    <x:row r="20">
      <x:c r="A20" s="20" t="str">
        <x:v>medical-text-simplification</x:v>
      </x:c>
      <x:c r="B20" s="20" t="str">
        <x:v>Core medical/clinical simplification</x:v>
      </x:c>
      <x:c r="C20" s="20" t="str">
        <x:v>red</x:v>
      </x:c>
    </x:row>
    <x:row r="21">
      <x:c r="A21" s="20" t="str">
        <x:v>health-literacy</x:v>
      </x:c>
      <x:c r="B21" s="20" t="str">
        <x:v>Health literacy or patient comprehension framing</x:v>
      </x:c>
      <x:c r="C21" s="20" t="str">
        <x:v>orange</x:v>
      </x:c>
    </x:row>
    <x:row r="22">
      <x:c r="A22" s="20" t="str">
        <x:v>medical-nli</x:v>
      </x:c>
      <x:c r="B22" s="20" t="str">
        <x:v>Clinical or biomedical natural language inference</x:v>
      </x:c>
      <x:c r="C22" s="20" t="str">
        <x:v>teal</x:v>
      </x:c>
    </x:row>
    <x:row r="23">
      <x:c r="A23" s="20" t="str">
        <x:v>baseline</x:v>
      </x:c>
      <x:c r="B23" s="20" t="str">
        <x:v>Backbone model or background baseline</x:v>
      </x:c>
      <x:c r="C23" s="20" t="str">
        <x:v>gray</x:v>
      </x:c>
    </x:row>
  </x:sheetData>
  <x:pageMargins left="0.7" right="0.7" top="0.75" bottom="0.75" header="0.3" footer="0.3"/>
  <x:tableParts count="1">
    <x:tablePart xmlns:r="http://schemas.openxmlformats.org/officeDocument/2006/relationships" r:id="R5b75fec6aa8e421e"/>
  </x:tableParts>
</x:worksheet>
</file>

<file path=xl/worksheets/sheet8.xml><?xml version="1.0" encoding="utf-8"?>
<x:worksheet xmlns:x="http://schemas.openxmlformats.org/spreadsheetml/2006/main">
  <x:sheetFormatPr defaultRowHeight="15"/>
  <x:cols>
    <x:col min="1" max="1" width="16" hidden="0" customWidth="1"/>
    <x:col min="2" max="2" width="2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26" hidden="0" customWidth="1"/>
  </x:cols>
  <x:sheetData>
    <x:row r="1">
      <x:c r="A1" s="24" t="str">
        <x:v>record_id</x:v>
      </x:c>
      <x:c r="B1" s="24" t="str">
        <x:v>citekey</x:v>
      </x:c>
      <x:c r="C1" s="24" t="str">
        <x:v>screening_decision</x:v>
      </x:c>
      <x:c r="D1" s="24" t="str">
        <x:v>exclusion_reason</x:v>
      </x:c>
      <x:c r="E1" s="24" t="str">
        <x:v>citation_apa</x:v>
      </x:c>
      <x:c r="F1" s="24" t="str">
        <x:v>doi_or_id</x:v>
      </x:c>
      <x:c r="G1" s="24" t="str">
        <x:v>venue_year</x:v>
      </x:c>
      <x:c r="H1" s="24" t="str">
        <x:v>task</x:v>
      </x:c>
      <x:c r="I1" s="24" t="str">
        <x:v>architecture</x:v>
      </x:c>
      <x:c r="J1" s="24" t="str">
        <x:v>dataset_name</x:v>
      </x:c>
      <x:c r="K1" s="24" t="str">
        <x:v>dataset_size</x:v>
      </x:c>
      <x:c r="L1" s="24" t="str">
        <x:v>dataset_language</x:v>
      </x:c>
      <x:c r="M1" s="24" t="str">
        <x:v>dataset_construction</x:v>
      </x:c>
      <x:c r="N1" s="24" t="str">
        <x:v>factuality_method</x:v>
      </x:c>
      <x:c r="O1" s="24" t="str">
        <x:v>readability_metric</x:v>
      </x:c>
      <x:c r="P1" s="24" t="str">
        <x:v>baseline_strength</x:v>
      </x:c>
      <x:c r="Q1" s="24" t="str">
        <x:v>human_eval_n</x:v>
      </x:c>
      <x:c r="R1" s="24" t="str">
        <x:v>human_eval_roles</x:v>
      </x:c>
      <x:c r="S1" s="24" t="str">
        <x:v>inter_rater_reliability</x:v>
      </x:c>
      <x:c r="T1" s="24" t="str">
        <x:v>reported_limitations</x:v>
      </x:c>
      <x:c r="U1" s="24" t="str">
        <x:v>bangla_relevance</x:v>
      </x:c>
      <x:c r="V1" s="24" t="str">
        <x:v>risk_of_bias_tool</x:v>
      </x:c>
      <x:c r="W1" s="24" t="str">
        <x:v>rob_judgment</x:v>
      </x:c>
      <x:c r="X1" s="24" t="str">
        <x:v>grade_outcome</x:v>
      </x:c>
      <x:c r="Y1" s="24" t="str">
        <x:v>notes</x:v>
      </x:c>
      <x:c r="Z1" s="24" t="str">
        <x:v>pdf_attached</x:v>
      </x:c>
      <x:c r="AA1" s="24" t="str">
        <x:v>zotero_collection</x:v>
      </x:c>
      <x:c r="AB1" s="24" t="str">
        <x:v>tags</x:v>
      </x:c>
    </x:row>
    <x:row r="2">
      <x:c r="A2" s="20" t="str">
        <x:v>1</x:v>
      </x:c>
      <x:c r="B2" s="20" t="str"/>
      <x:c r="C2" s="20" t="str"/>
      <x:c r="D2" s="20" t="str"/>
      <x:c r="E2" s="20" t="str"/>
      <x:c r="F2" s="20" t="str"/>
      <x:c r="G2" s="20" t="str"/>
      <x:c r="H2" s="20" t="str"/>
      <x:c r="I2" s="20" t="str"/>
      <x:c r="J2" s="20" t="str"/>
      <x:c r="K2" s="20" t="str"/>
      <x:c r="L2" s="20" t="str"/>
      <x:c r="M2" s="20" t="str"/>
      <x:c r="N2" s="20" t="str"/>
      <x:c r="O2" s="20" t="str"/>
      <x:c r="P2" s="20" t="str"/>
      <x:c r="Q2" s="20" t="str"/>
      <x:c r="R2" s="20" t="str"/>
      <x:c r="S2" s="20" t="str"/>
      <x:c r="T2" s="20" t="str"/>
      <x:c r="U2" s="20" t="str"/>
      <x:c r="V2" s="20" t="str"/>
      <x:c r="W2" s="20" t="str"/>
      <x:c r="X2" s="20" t="str"/>
      <x:c r="Y2" s="20" t="str"/>
      <x:c r="Z2" s="20" t="str"/>
      <x:c r="AA2" s="20" t="str"/>
      <x:c r="AB2" s="20" t="str"/>
    </x:row>
    <x:row r="3">
      <x:c r="A3" s="20" t="str">
        <x:v>2</x:v>
      </x:c>
      <x:c r="B3" s="20" t="str"/>
      <x:c r="C3" s="20" t="str"/>
      <x:c r="D3" s="20" t="str"/>
      <x:c r="E3" s="20" t="str"/>
      <x:c r="F3" s="20" t="str"/>
      <x:c r="G3" s="20" t="str"/>
      <x:c r="H3" s="20" t="str"/>
      <x:c r="I3" s="20" t="str"/>
      <x:c r="J3" s="20" t="str"/>
      <x:c r="K3" s="20" t="str"/>
      <x:c r="L3" s="20" t="str"/>
      <x:c r="M3" s="20" t="str"/>
      <x:c r="N3" s="20" t="str"/>
      <x:c r="O3" s="20" t="str"/>
      <x:c r="P3" s="20" t="str"/>
      <x:c r="Q3" s="20" t="str"/>
      <x:c r="R3" s="20" t="str"/>
      <x:c r="S3" s="20" t="str"/>
      <x:c r="T3" s="20" t="str"/>
      <x:c r="U3" s="20" t="str"/>
      <x:c r="V3" s="20" t="str"/>
      <x:c r="W3" s="20" t="str"/>
      <x:c r="X3" s="20" t="str"/>
      <x:c r="Y3" s="20" t="str"/>
      <x:c r="Z3" s="20" t="str"/>
      <x:c r="AA3" s="20" t="str"/>
      <x:c r="AB3" s="20" t="str"/>
    </x:row>
    <x:row r="4">
      <x:c r="A4" s="20" t="str">
        <x:v>3</x:v>
      </x:c>
      <x:c r="B4" s="20" t="str"/>
      <x:c r="C4" s="20" t="str"/>
      <x:c r="D4" s="20" t="str"/>
      <x:c r="E4" s="20" t="str"/>
      <x:c r="F4" s="20" t="str"/>
      <x:c r="G4" s="20" t="str"/>
      <x:c r="H4" s="20" t="str"/>
      <x:c r="I4" s="20" t="str"/>
      <x:c r="J4" s="20" t="str"/>
      <x:c r="K4" s="20" t="str"/>
      <x:c r="L4" s="20" t="str"/>
      <x:c r="M4" s="20" t="str"/>
      <x:c r="N4" s="20" t="str"/>
      <x:c r="O4" s="20" t="str"/>
      <x:c r="P4" s="20" t="str"/>
      <x:c r="Q4" s="20" t="str"/>
      <x:c r="R4" s="20" t="str"/>
      <x:c r="S4" s="20" t="str"/>
      <x:c r="T4" s="20" t="str"/>
      <x:c r="U4" s="20" t="str"/>
      <x:c r="V4" s="20" t="str"/>
      <x:c r="W4" s="20" t="str"/>
      <x:c r="X4" s="20" t="str"/>
      <x:c r="Y4" s="20" t="str"/>
      <x:c r="Z4" s="20" t="str"/>
      <x:c r="AA4" s="20" t="str"/>
      <x:c r="AB4" s="20" t="str"/>
    </x:row>
    <x:row r="5">
      <x:c r="A5" s="20" t="str">
        <x:v>4</x:v>
      </x:c>
      <x:c r="B5" s="20" t="str"/>
      <x:c r="C5" s="20" t="str"/>
      <x:c r="D5" s="20" t="str"/>
      <x:c r="E5" s="20" t="str"/>
      <x:c r="F5" s="20" t="str"/>
      <x:c r="G5" s="20" t="str"/>
      <x:c r="H5" s="20" t="str"/>
      <x:c r="I5" s="20" t="str"/>
      <x:c r="J5" s="20" t="str"/>
      <x:c r="K5" s="20" t="str"/>
      <x:c r="L5" s="20" t="str"/>
      <x:c r="M5" s="20" t="str"/>
      <x:c r="N5" s="20" t="str"/>
      <x:c r="O5" s="20" t="str"/>
      <x:c r="P5" s="20" t="str"/>
      <x:c r="Q5" s="20" t="str"/>
      <x:c r="R5" s="20" t="str"/>
      <x:c r="S5" s="20" t="str"/>
      <x:c r="T5" s="20" t="str"/>
      <x:c r="U5" s="20" t="str"/>
      <x:c r="V5" s="20" t="str"/>
      <x:c r="W5" s="20" t="str"/>
      <x:c r="X5" s="20" t="str"/>
      <x:c r="Y5" s="20" t="str"/>
      <x:c r="Z5" s="20" t="str"/>
      <x:c r="AA5" s="20" t="str"/>
      <x:c r="AB5" s="20" t="str"/>
    </x:row>
    <x:row r="6">
      <x:c r="A6" s="20" t="str">
        <x:v>5</x:v>
      </x:c>
      <x:c r="B6" s="20" t="str"/>
      <x:c r="C6" s="20" t="str"/>
      <x:c r="D6" s="20" t="str"/>
      <x:c r="E6" s="20" t="str"/>
      <x:c r="F6" s="20" t="str"/>
      <x:c r="G6" s="20" t="str"/>
      <x:c r="H6" s="20" t="str"/>
      <x:c r="I6" s="20" t="str"/>
      <x:c r="J6" s="20" t="str"/>
      <x:c r="K6" s="20" t="str"/>
      <x:c r="L6" s="20" t="str"/>
      <x:c r="M6" s="20" t="str"/>
      <x:c r="N6" s="20" t="str"/>
      <x:c r="O6" s="20" t="str"/>
      <x:c r="P6" s="20" t="str"/>
      <x:c r="Q6" s="20" t="str"/>
      <x:c r="R6" s="20" t="str"/>
      <x:c r="S6" s="20" t="str"/>
      <x:c r="T6" s="20" t="str"/>
      <x:c r="U6" s="20" t="str"/>
      <x:c r="V6" s="20" t="str"/>
      <x:c r="W6" s="20" t="str"/>
      <x:c r="X6" s="20" t="str"/>
      <x:c r="Y6" s="20" t="str"/>
      <x:c r="Z6" s="20" t="str"/>
      <x:c r="AA6" s="20" t="str"/>
      <x:c r="AB6" s="20" t="str"/>
    </x:row>
  </x:sheetData>
  <x:pageMargins left="0.7" right="0.7" top="0.75" bottom="0.75" header="0.3" footer="0.3"/>
  <x:tableParts count="1">
    <x:tablePart xmlns:r="http://schemas.openxmlformats.org/officeDocument/2006/relationships" r:id="Rf38a45a3b4fe4153"/>
  </x:tableParts>
</x:worksheet>
</file>

<file path=xl/worksheets/sheet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36" hidden="0" customWidth="1"/>
    <x:col min="7" max="7" width="36" hidden="0" customWidth="1"/>
    <x:col min="8" max="8" width="16" hidden="0" customWidth="1"/>
    <x:col min="9" max="9" width="16" hidden="0" customWidth="1"/>
    <x:col min="10" max="10" width="16" hidden="0" customWidth="1"/>
    <x:col min="11" max="11" width="16" hidden="0" customWidth="1"/>
  </x:cols>
  <x:sheetData>
    <x:row r="1">
      <x:c r="A1" s="24" t="str">
        <x:v>source_database</x:v>
      </x:c>
      <x:c r="B1" s="24" t="str">
        <x:v>search_date</x:v>
      </x:c>
      <x:c r="C1" s="24" t="str">
        <x:v>search_string_id</x:v>
      </x:c>
      <x:c r="D1" s="24" t="str">
        <x:v>raw_records</x:v>
      </x:c>
      <x:c r="E1" s="24" t="str">
        <x:v>duplicates_removed</x:v>
      </x:c>
      <x:c r="F1" s="24" t="str">
        <x:v>title_abstract_screened</x:v>
      </x:c>
      <x:c r="G1" s="24" t="str">
        <x:v>title_abstract_excluded</x:v>
      </x:c>
      <x:c r="H1" s="24" t="str">
        <x:v>full_text_assessed</x:v>
      </x:c>
      <x:c r="I1" s="24" t="str">
        <x:v>full_text_excluded</x:v>
      </x:c>
      <x:c r="J1" s="24" t="str">
        <x:v>included</x:v>
      </x:c>
      <x:c r="K1" s="24" t="str">
        <x:v>notes</x:v>
      </x:c>
    </x:row>
    <x:row r="2">
      <x:c r="A2" s="20" t="str">
        <x:v>ACL Anthology</x:v>
      </x:c>
      <x:c r="B2" s="20" t="str">
        <x:v>2026-07-04</x:v>
      </x:c>
      <x:c r="C2" s="20" t="str"/>
      <x:c r="D2" s="20" t="str"/>
      <x:c r="E2" s="20" t="str"/>
      <x:c r="F2" s="20" t="str"/>
      <x:c r="G2" s="20" t="str"/>
      <x:c r="H2" s="20" t="str"/>
      <x:c r="I2" s="20" t="str"/>
      <x:c r="J2" s="20" t="str"/>
      <x:c r="K2" s="20" t="str"/>
    </x:row>
    <x:row r="3">
      <x:c r="A3" s="20" t="str">
        <x:v>PubMed/PubMed Central</x:v>
      </x:c>
      <x:c r="B3" s="20" t="str">
        <x:v>2026-07-04</x:v>
      </x:c>
      <x:c r="C3" s="20" t="str"/>
      <x:c r="D3" s="20" t="str"/>
      <x:c r="E3" s="20" t="str"/>
      <x:c r="F3" s="20" t="str"/>
      <x:c r="G3" s="20" t="str"/>
      <x:c r="H3" s="20" t="str"/>
      <x:c r="I3" s="20" t="str"/>
      <x:c r="J3" s="20" t="str"/>
      <x:c r="K3" s="20" t="str"/>
    </x:row>
    <x:row r="4">
      <x:c r="A4" s="20" t="str">
        <x:v>IEEE Xplore</x:v>
      </x:c>
      <x:c r="B4" s="20" t="str">
        <x:v>2026-07-04</x:v>
      </x:c>
      <x:c r="C4" s="20" t="str"/>
      <x:c r="D4" s="20" t="str"/>
      <x:c r="E4" s="20" t="str"/>
      <x:c r="F4" s="20" t="str"/>
      <x:c r="G4" s="20" t="str"/>
      <x:c r="H4" s="20" t="str"/>
      <x:c r="I4" s="20" t="str"/>
      <x:c r="J4" s="20" t="str"/>
      <x:c r="K4" s="20" t="str"/>
    </x:row>
    <x:row r="5">
      <x:c r="A5" s="20" t="str">
        <x:v>ACM Digital Library</x:v>
      </x:c>
      <x:c r="B5" s="20" t="str">
        <x:v>2026-07-04</x:v>
      </x:c>
      <x:c r="C5" s="20" t="str"/>
      <x:c r="D5" s="20" t="str"/>
      <x:c r="E5" s="20" t="str"/>
      <x:c r="F5" s="20" t="str"/>
      <x:c r="G5" s="20" t="str"/>
      <x:c r="H5" s="20" t="str"/>
      <x:c r="I5" s="20" t="str"/>
      <x:c r="J5" s="20" t="str"/>
      <x:c r="K5" s="20" t="str"/>
    </x:row>
    <x:row r="6">
      <x:c r="A6" s="20" t="str">
        <x:v>Scopus</x:v>
      </x:c>
      <x:c r="B6" s="20" t="str">
        <x:v>2026-07-04</x:v>
      </x:c>
      <x:c r="C6" s="20" t="str"/>
      <x:c r="D6" s="20" t="str"/>
      <x:c r="E6" s="20" t="str"/>
      <x:c r="F6" s="20" t="str"/>
      <x:c r="G6" s="20" t="str"/>
      <x:c r="H6" s="20" t="str"/>
      <x:c r="I6" s="20" t="str"/>
      <x:c r="J6" s="20" t="str"/>
      <x:c r="K6" s="20" t="str"/>
    </x:row>
    <x:row r="7">
      <x:c r="A7" s="20" t="str">
        <x:v>Google Scholar snowballing</x:v>
      </x:c>
      <x:c r="B7" s="20" t="str">
        <x:v>2026-07-04</x:v>
      </x:c>
      <x:c r="C7" s="20" t="str"/>
      <x:c r="D7" s="20" t="str"/>
      <x:c r="E7" s="20" t="str"/>
      <x:c r="F7" s="20" t="str"/>
      <x:c r="G7" s="20" t="str"/>
      <x:c r="H7" s="20" t="str"/>
      <x:c r="I7" s="20" t="str"/>
      <x:c r="J7" s="20" t="str"/>
      <x:c r="K7" s="20" t="str"/>
    </x:row>
  </x:sheetData>
  <x:pageMargins left="0.7" right="0.7" top="0.75" bottom="0.75" header="0.3" footer="0.3"/>
  <x:tableParts count="1">
    <x:tablePart xmlns:r="http://schemas.openxmlformats.org/officeDocument/2006/relationships" r:id="R9453cca49d3349ec"/>
  </x:tableParts>
</x:worksheet>
</file>

<file path=xl/worksheets/sheet10.xml><?xml version="1.0" encoding="utf-8"?>
<x:worksheet xmlns:x="http://schemas.openxmlformats.org/spreadsheetml/2006/main">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x:c r="A1" s="24" t="str">
        <x:v>citekey</x:v>
      </x:c>
      <x:c r="B1" s="24" t="str">
        <x:v>study_type</x:v>
      </x:c>
      <x:c r="C1" s="24" t="str">
        <x:v>tool</x:v>
      </x:c>
      <x:c r="D1" s="24" t="str">
        <x:v>randomization_or_selection</x:v>
      </x:c>
      <x:c r="E1" s="24" t="str">
        <x:v>confounding_or_leakage</x:v>
      </x:c>
      <x:c r="F1" s="24" t="str">
        <x:v>missing_data</x:v>
      </x:c>
      <x:c r="G1" s="24" t="str">
        <x:v>outcome_measurement</x:v>
      </x:c>
      <x:c r="H1" s="24" t="str">
        <x:v>selective_reporting</x:v>
      </x:c>
      <x:c r="I1" s="24" t="str">
        <x:v>baseline_strength</x:v>
      </x:c>
      <x:c r="J1" s="24" t="str">
        <x:v>metric_validity</x:v>
      </x:c>
      <x:c r="K1" s="24" t="str">
        <x:v>statistical_testing</x:v>
      </x:c>
      <x:c r="L1" s="24" t="str">
        <x:v>reproducibility</x:v>
      </x:c>
      <x:c r="M1" s="24" t="str">
        <x:v>overall_judgment</x:v>
      </x:c>
      <x:c r="N1" s="24" t="str">
        <x:v>notes</x:v>
      </x:c>
    </x:row>
    <x:row r="2">
      <x:c r="A2" s="20" t="str">
        <x:v>basu2023_med_easi_finely</x:v>
      </x:c>
      <x:c r="B2" s="20" t="str"/>
      <x:c r="C2" s="20" t="str"/>
      <x:c r="D2" s="20" t="str"/>
      <x:c r="E2" s="20" t="str"/>
      <x:c r="F2" s="20" t="str"/>
      <x:c r="G2" s="20" t="str"/>
      <x:c r="H2" s="20" t="str"/>
      <x:c r="I2" s="20" t="str"/>
      <x:c r="J2" s="20" t="str"/>
      <x:c r="K2" s="20" t="str"/>
      <x:c r="L2" s="20" t="str"/>
      <x:c r="M2" s="20" t="str"/>
      <x:c r="N2" s="20" t="str"/>
    </x:row>
    <x:row r="3">
      <x:c r="A3" s="20" t="str">
        <x:v>horiguchi2025_multimsd_multilingual_medical</x:v>
      </x:c>
      <x:c r="B3" s="20" t="str"/>
      <x:c r="C3" s="20" t="str"/>
      <x:c r="D3" s="20" t="str"/>
      <x:c r="E3" s="20" t="str"/>
      <x:c r="F3" s="20" t="str"/>
      <x:c r="G3" s="20" t="str"/>
      <x:c r="H3" s="20" t="str"/>
      <x:c r="I3" s="20" t="str"/>
      <x:c r="J3" s="20" t="str"/>
      <x:c r="K3" s="20" t="str"/>
      <x:c r="L3" s="20" t="str"/>
      <x:c r="M3" s="20" t="str"/>
      <x:c r="N3" s="20" t="str"/>
    </x:row>
    <x:row r="4">
      <x:c r="A4" s="20" t="str">
        <x:v>joseph2023_multilingual_simplification_medical</x:v>
      </x:c>
      <x:c r="B4" s="20" t="str"/>
      <x:c r="C4" s="20" t="str"/>
      <x:c r="D4" s="20" t="str"/>
      <x:c r="E4" s="20" t="str"/>
      <x:c r="F4" s="20" t="str"/>
      <x:c r="G4" s="20" t="str"/>
      <x:c r="H4" s="20" t="str"/>
      <x:c r="I4" s="20" t="str"/>
      <x:c r="J4" s="20" t="str"/>
      <x:c r="K4" s="20" t="str"/>
      <x:c r="L4" s="20" t="str"/>
      <x:c r="M4" s="20" t="str"/>
      <x:c r="N4" s="20" t="str"/>
    </x:row>
    <x:row r="5">
      <x:c r="A5" s="20" t="str">
        <x:v>bakker2024_cochrane_auto_aligned</x:v>
      </x:c>
      <x:c r="B5" s="20" t="str"/>
      <x:c r="C5" s="20" t="str"/>
      <x:c r="D5" s="20" t="str"/>
      <x:c r="E5" s="20" t="str"/>
      <x:c r="F5" s="20" t="str"/>
      <x:c r="G5" s="20" t="str"/>
      <x:c r="H5" s="20" t="str"/>
      <x:c r="I5" s="20" t="str"/>
      <x:c r="J5" s="20" t="str"/>
      <x:c r="K5" s="20" t="str"/>
      <x:c r="L5" s="20" t="str"/>
      <x:c r="M5" s="20" t="str"/>
      <x:c r="N5" s="20" t="str"/>
    </x:row>
    <x:row r="6">
      <x:c r="A6" s="20" t="str">
        <x:v>yao2024_readme_bridging_medical</x:v>
      </x:c>
      <x:c r="B6" s="20" t="str"/>
      <x:c r="C6" s="20" t="str"/>
      <x:c r="D6" s="20" t="str"/>
      <x:c r="E6" s="20" t="str"/>
      <x:c r="F6" s="20" t="str"/>
      <x:c r="G6" s="20" t="str"/>
      <x:c r="H6" s="20" t="str"/>
      <x:c r="I6" s="20" t="str"/>
      <x:c r="J6" s="20" t="str"/>
      <x:c r="K6" s="20" t="str"/>
      <x:c r="L6" s="20" t="str"/>
      <x:c r="M6" s="20" t="str"/>
      <x:c r="N6" s="20" t="str"/>
    </x:row>
    <x:row r="7">
      <x:c r="A7" s="20" t="str">
        <x:v>devaraj2021_paragraph_level_simplification</x:v>
      </x:c>
      <x:c r="B7" s="20" t="str"/>
      <x:c r="C7" s="20" t="str"/>
      <x:c r="D7" s="20" t="str"/>
      <x:c r="E7" s="20" t="str"/>
      <x:c r="F7" s="20" t="str"/>
      <x:c r="G7" s="20" t="str"/>
      <x:c r="H7" s="20" t="str"/>
      <x:c r="I7" s="20" t="str"/>
      <x:c r="J7" s="20" t="str"/>
      <x:c r="K7" s="20" t="str"/>
      <x:c r="L7" s="20" t="str"/>
      <x:c r="M7" s="20" t="str"/>
      <x:c r="N7" s="20" t="str"/>
    </x:row>
    <x:row r="8">
      <x:c r="A8" s="20" t="str">
        <x:v>devaraj2022_evaluating_factuality_text</x:v>
      </x:c>
      <x:c r="B8" s="20" t="str"/>
      <x:c r="C8" s="20" t="str"/>
      <x:c r="D8" s="20" t="str"/>
      <x:c r="E8" s="20" t="str"/>
      <x:c r="F8" s="20" t="str"/>
      <x:c r="G8" s="20" t="str"/>
      <x:c r="H8" s="20" t="str"/>
      <x:c r="I8" s="20" t="str"/>
      <x:c r="J8" s="20" t="str"/>
      <x:c r="K8" s="20" t="str"/>
      <x:c r="L8" s="20" t="str"/>
      <x:c r="M8" s="20" t="str"/>
      <x:c r="N8" s="20" t="str"/>
    </x:row>
    <x:row r="9">
      <x:c r="A9" s="20" t="str">
        <x:v>flores2023_medical_text_simplification</x:v>
      </x:c>
      <x:c r="B9" s="20" t="str"/>
      <x:c r="C9" s="20" t="str"/>
      <x:c r="D9" s="20" t="str"/>
      <x:c r="E9" s="20" t="str"/>
      <x:c r="F9" s="20" t="str"/>
      <x:c r="G9" s="20" t="str"/>
      <x:c r="H9" s="20" t="str"/>
      <x:c r="I9" s="20" t="str"/>
      <x:c r="J9" s="20" t="str"/>
      <x:c r="K9" s="20" t="str"/>
      <x:c r="L9" s="20" t="str"/>
      <x:c r="M9" s="20" t="str"/>
      <x:c r="N9" s="20" t="str"/>
    </x:row>
    <x:row r="10">
      <x:c r="A10" s="20" t="str">
        <x:v>phatak2022_medical_text_simplification</x:v>
      </x:c>
      <x:c r="B10" s="20" t="str"/>
      <x:c r="C10" s="20" t="str"/>
      <x:c r="D10" s="20" t="str"/>
      <x:c r="E10" s="20" t="str"/>
      <x:c r="F10" s="20" t="str"/>
      <x:c r="G10" s="20" t="str"/>
      <x:c r="H10" s="20" t="str"/>
      <x:c r="I10" s="20" t="str"/>
      <x:c r="J10" s="20" t="str"/>
      <x:c r="K10" s="20" t="str"/>
      <x:c r="L10" s="20" t="str"/>
      <x:c r="M10" s="20" t="str"/>
      <x:c r="N10" s="20" t="str"/>
    </x:row>
    <x:row r="11">
      <x:c r="A11" s="20" t="str">
        <x:v>moramarco2022_more_patient_friendly</x:v>
      </x:c>
      <x:c r="B11" s="20" t="str"/>
      <x:c r="C11" s="20" t="str"/>
      <x:c r="D11" s="20" t="str"/>
      <x:c r="E11" s="20" t="str"/>
      <x:c r="F11" s="20" t="str"/>
      <x:c r="G11" s="20" t="str"/>
      <x:c r="H11" s="20" t="str"/>
      <x:c r="I11" s="20" t="str"/>
      <x:c r="J11" s="20" t="str"/>
      <x:c r="K11" s="20" t="str"/>
      <x:c r="L11" s="20" t="str"/>
      <x:c r="M11" s="20" t="str"/>
      <x:c r="N11" s="20" t="str"/>
    </x:row>
  </x:sheetData>
  <x:pageMargins left="0.7" right="0.7" top="0.75" bottom="0.75" header="0.3" footer="0.3"/>
  <x:tableParts count="1">
    <x:tablePart xmlns:r="http://schemas.openxmlformats.org/officeDocument/2006/relationships" r:id="R562dcaefa601446c"/>
  </x:tableParts>
</x:worksheet>
</file>

<file path=xl/worksheets/sheet1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24" t="str">
        <x:v>outcome</x:v>
      </x:c>
      <x:c r="B1" s="24" t="str">
        <x:v>number_of_studies</x:v>
      </x:c>
      <x:c r="C1" s="24" t="str">
        <x:v>certainty_start</x:v>
      </x:c>
      <x:c r="D1" s="24" t="str">
        <x:v>risk_of_bias</x:v>
      </x:c>
      <x:c r="E1" s="24" t="str">
        <x:v>inconsistency</x:v>
      </x:c>
      <x:c r="F1" s="24" t="str">
        <x:v>indirectness</x:v>
      </x:c>
      <x:c r="G1" s="24" t="str">
        <x:v>imprecision</x:v>
      </x:c>
      <x:c r="H1" s="24" t="str">
        <x:v>publication_bias</x:v>
      </x:c>
      <x:c r="I1" s="24" t="str">
        <x:v>other_considerations</x:v>
      </x:c>
      <x:c r="J1" s="24" t="str">
        <x:v>final_certainty</x:v>
      </x:c>
      <x:c r="K1" s="24" t="str">
        <x:v>summary_of_findings</x:v>
      </x:c>
    </x:row>
    <x:row r="2">
      <x:c r="A2" s="20" t="str">
        <x:v>Factuality preservation</x:v>
      </x:c>
      <x:c r="B2" s="20" t="str"/>
      <x:c r="C2" s="20" t="str"/>
      <x:c r="D2" s="20" t="str"/>
      <x:c r="E2" s="20" t="str"/>
      <x:c r="F2" s="20" t="str"/>
      <x:c r="G2" s="20" t="str"/>
      <x:c r="H2" s="20" t="str"/>
      <x:c r="I2" s="20" t="str"/>
      <x:c r="J2" s="20" t="str"/>
      <x:c r="K2" s="20" t="str"/>
    </x:row>
    <x:row r="3">
      <x:c r="A3" s="20" t="str">
        <x:v>Readability improvement</x:v>
      </x:c>
      <x:c r="B3" s="20" t="str"/>
      <x:c r="C3" s="20" t="str"/>
      <x:c r="D3" s="20" t="str"/>
      <x:c r="E3" s="20" t="str"/>
      <x:c r="F3" s="20" t="str"/>
      <x:c r="G3" s="20" t="str"/>
      <x:c r="H3" s="20" t="str"/>
      <x:c r="I3" s="20" t="str"/>
      <x:c r="J3" s="20" t="str"/>
      <x:c r="K3" s="20" t="str"/>
    </x:row>
    <x:row r="4">
      <x:c r="A4" s="20" t="str">
        <x:v>Patient comprehension</x:v>
      </x:c>
      <x:c r="B4" s="20" t="str"/>
      <x:c r="C4" s="20" t="str"/>
      <x:c r="D4" s="20" t="str"/>
      <x:c r="E4" s="20" t="str"/>
      <x:c r="F4" s="20" t="str"/>
      <x:c r="G4" s="20" t="str"/>
      <x:c r="H4" s="20" t="str"/>
      <x:c r="I4" s="20" t="str"/>
      <x:c r="J4" s="20" t="str"/>
      <x:c r="K4" s="20" t="str"/>
    </x:row>
    <x:row r="5">
      <x:c r="A5" s="20" t="str">
        <x:v>Bangla transferability</x:v>
      </x:c>
      <x:c r="B5" s="20" t="str"/>
      <x:c r="C5" s="20" t="str"/>
      <x:c r="D5" s="20" t="str"/>
      <x:c r="E5" s="20" t="str"/>
      <x:c r="F5" s="20" t="str"/>
      <x:c r="G5" s="20" t="str"/>
      <x:c r="H5" s="20" t="str"/>
      <x:c r="I5" s="20" t="str"/>
      <x:c r="J5" s="20" t="str"/>
      <x:c r="K5" s="20" t="str"/>
    </x:row>
    <x:row r="6">
      <x:c r="A6" s="20" t="str">
        <x:v>Reproducibility</x:v>
      </x:c>
      <x:c r="B6" s="20" t="str"/>
      <x:c r="C6" s="20" t="str"/>
      <x:c r="D6" s="20" t="str"/>
      <x:c r="E6" s="20" t="str"/>
      <x:c r="F6" s="20" t="str"/>
      <x:c r="G6" s="20" t="str"/>
      <x:c r="H6" s="20" t="str"/>
      <x:c r="I6" s="20" t="str"/>
      <x:c r="J6" s="20" t="str"/>
      <x:c r="K6" s="20" t="str"/>
    </x:row>
  </x:sheetData>
  <x:pageMargins left="0.7" right="0.7" top="0.75" bottom="0.75" header="0.3" footer="0.3"/>
  <x:tableParts count="1">
    <x:tablePart xmlns:r="http://schemas.openxmlformats.org/officeDocument/2006/relationships" r:id="Rfd2aa7913e514a11"/>
  </x:tableParts>
</x:worksheet>
</file>

<file path=xl/worksheets/sheet12.xml><?xml version="1.0" encoding="utf-8"?>
<x:worksheet xmlns:x="http://schemas.openxmlformats.org/spreadsheetml/2006/main">
  <x:sheetFormatPr defaultRowHeight="15"/>
  <x:cols>
    <x:col min="1" max="1" width="110" hidden="0" customWidth="1"/>
  </x:cols>
  <x:sheetData>
    <x:row r="1">
      <x:c r="A1" s="28" t="str">
        <x:v>Reference Package README</x:v>
      </x:c>
    </x:row>
    <x:row r="3">
      <x:c r="A3" t="str">
        <x:v># Review reference library: Factuality in Clinical Text Simplification + Bangla Healthcare NLP</x:v>
      </x:c>
    </x:row>
    <x:row r="4">
      <x:c r="A4" t="str"/>
    </x:row>
    <x:row r="5">
      <x:c r="A5" t="str">
        <x:v>Generated: 2026-07-04</x:v>
      </x:c>
    </x:row>
    <x:row r="6">
      <x:c r="A6" t="str"/>
    </x:row>
    <x:row r="7">
      <x:c r="A7" t="str">
        <x:v>## Contents</x:v>
      </x:c>
    </x:row>
    <x:row r="8">
      <x:c r="A8" t="str"/>
    </x:row>
    <x:row r="9">
      <x:c r="A9" t="str">
        <x:v>This package contains an Overleaf/Zotero-ready reference library and bibliomatrix workbench for the review</x:v>
      </x:c>
    </x:row>
    <x:row r="10">
      <x:c r="A10" t="str">
        <x:v>paper on **factuality preservation in patient-facing medical text simplification with a low-resource Bangla</x:v>
      </x:c>
    </x:row>
    <x:row r="11">
      <x:c r="A11" t="str">
        <x:v>evidence map**.</x:v>
      </x:c>
    </x:row>
    <x:row r="12">
      <x:c r="A12" t="str"/>
    </x:row>
    <x:row r="13">
      <x:c r="A13" t="str">
        <x:v>## Main files</x:v>
      </x:c>
    </x:row>
    <x:row r="14">
      <x:c r="A14" t="str"/>
    </x:row>
    <x:row r="15">
      <x:c r="A15" t="str">
        <x:v>| File | Purpose |</x:v>
      </x:c>
    </x:row>
    <x:row r="16">
      <x:c r="A16" t="str">
        <x:v>|---|---|</x:v>
      </x:c>
    </x:row>
    <x:row r="17">
      <x:c r="A17" t="str">
        <x:v>| `factuality_clinical_ts_bangla_215refs.bib` | Master BibTeX screening-pool library with 215 records |</x:v>
      </x:c>
    </x:row>
    <x:row r="18">
      <x:c r="A18" t="str">
        <x:v>| `factuality_clinical_ts_bangla_core105.bib` | Smaller BibTeX file with 105 core/method/supporting/baseline</x:v>
      </x:c>
    </x:row>
    <x:row r="19">
      <x:c r="A19" t="str">
        <x:v>records |</x:v>
      </x:c>
    </x:row>
    <x:row r="20">
      <x:c r="A20" t="str">
        <x:v>| `bibliomatrix_master_215.csv` | Master bibliomatrix with citation metadata, categories, factuality</x:v>
      </x:c>
    </x:row>
    <x:row r="21">
      <x:c r="A21" t="str">
        <x:v>mechanism, Bangla relevance, and verification status |</x:v>
      </x:c>
    </x:row>
    <x:row r="22">
      <x:c r="A22" t="str">
        <x:v>| `bibliomatrix_master.xlsx` | Excel workbook with dashboard, master matrix, factuality matrix, Bangla matrix,</x:v>
      </x:c>
    </x:row>
    <x:row r="23">
      <x:c r="A23" t="str">
        <x:v>tag matrix, DOI queue, and templates |</x:v>
      </x:c>
    </x:row>
    <x:row r="24">
      <x:c r="A24" t="str">
        <x:v>| `matrix_paper_x_factuality_mechanism.csv` | Binary matrix for factuality/faithfulness mechanisms |</x:v>
      </x:c>
    </x:row>
    <x:row r="25">
      <x:c r="A25" t="str">
        <x:v>| `matrix_paper_x_bangla_relevance.csv` | Binary matrix for direct/transferable Bangla relevance |</x:v>
      </x:c>
    </x:row>
    <x:row r="26">
      <x:c r="A26" t="str">
        <x:v>| `matrix_paper_x_controlled_tags.csv` | Binary matrix for controlled Zotero-style tags |</x:v>
      </x:c>
    </x:row>
    <x:row r="27">
      <x:c r="A27" t="str">
        <x:v>| `overleaf_elsarticle_starter.tex` | Minimal Elsevier/JBI-style Overleaf starter using the master `.bib` |</x:v>
      </x:c>
    </x:row>
    <x:row r="28">
      <x:c r="A28" t="str">
        <x:v>| `citation_key_groups.md` | Cite keys grouped by review section/category |</x:v>
      </x:c>
    </x:row>
    <x:row r="29">
      <x:c r="A29" t="str">
        <x:v>| `doi_verification_queue.csv` | DOI/stable-ID verification queue |</x:v>
      </x:c>
    </x:row>
    <x:row r="30">
      <x:c r="A30" t="str">
        <x:v>| `verify_dois_crossref.py` | Crossref DOI verification script for local use |</x:v>
      </x:c>
    </x:row>
    <x:row r="31">
      <x:c r="A31" t="str">
        <x:v>| `generate_bibliomatrix.R` | Bibliometrix R workflow |</x:v>
      </x:c>
    </x:row>
    <x:row r="32">
      <x:c r="A32" t="str">
        <x:v>| `search_strategy_pack.md` | Database search strings |</x:v>
      </x:c>
    </x:row>
    <x:row r="33">
      <x:c r="A33" t="str">
        <x:v>| `data_extraction_template.csv` | Extraction codebook template |</x:v>
      </x:c>
    </x:row>
    <x:row r="34">
      <x:c r="A34" t="str">
        <x:v>| `prisma_flow_counts_template.csv` | PRISMA flow count log |</x:v>
      </x:c>
    </x:row>
    <x:row r="35">
      <x:c r="A35" t="str">
        <x:v>| `risk_of_bias_template.csv` | RoB/NLP-bias extraction template |</x:v>
      </x:c>
    </x:row>
    <x:row r="36">
      <x:c r="A36" t="str">
        <x:v>| `grade_summary_of_findings_template.csv` | GRADE Summary of Findings template |</x:v>
      </x:c>
    </x:row>
    <x:row r="37">
      <x:c r="A37" t="str"/>
    </x:row>
    <x:row r="38">
      <x:c r="A38" t="str">
        <x:v>## Verification status summary</x:v>
      </x:c>
    </x:row>
    <x:row r="39">
      <x:c r="A39" t="str"/>
    </x:row>
    <x:row r="40">
      <x:c r="A40" t="str">
        <x:v>- Records total: 215</x:v>
      </x:c>
    </x:row>
    <x:row r="41">
      <x:c r="A41" t="str">
        <x:v>- DOI populated: 155</x:v>
      </x:c>
    </x:row>
    <x:row r="42">
      <x:c r="A42" t="str">
        <x:v>- ACL Anthology IDs: 88</x:v>
      </x:c>
    </x:row>
    <x:row r="43">
      <x:c r="A43" t="str">
        <x:v>- arXiv IDs: 31</x:v>
      </x:c>
    </x:row>
    <x:row r="44">
      <x:c r="A44" t="str"/>
    </x:row>
    <x:row r="45">
      <x:c r="A45" t="str">
        <x:v>- acl_id_stable_no_doi_field: 11</x:v>
      </x:c>
    </x:row>
    <x:row r="46">
      <x:c r="A46" t="str">
        <x:v>- arxiv_stable_no_doi: 23</x:v>
      </x:c>
    </x:row>
    <x:row r="47">
      <x:c r="A47" t="str">
        <x:v>- doi_present_needs_crossref_check: 26</x:v>
      </x:c>
    </x:row>
    <x:row r="48">
      <x:c r="A48" t="str">
        <x:v>- doi_structurally_verified_from_source: 129</x:v>
      </x:c>
    </x:row>
    <x:row r="49">
      <x:c r="A49" t="str">
        <x:v>- pmid_stable_no_doi: 1</x:v>
      </x:c>
    </x:row>
    <x:row r="50">
      <x:c r="A50" t="str">
        <x:v>- url_stable_no_doi: 25</x:v>
      </x:c>
    </x:row>
    <x:row r="51">
      <x:c r="A51" t="str"/>
    </x:row>
    <x:row r="52">
      <x:c r="A52" t="str">
        <x:v>DOI policy: DOI fields are populated only where a DOI or a formal DOI-like venue identifier was available. ACL</x:v>
      </x:c>
    </x:row>
    <x:row r="53">
      <x:c r="A53" t="str">
        <x:v>Anthology, arXiv, PubMed/PMC, publisher, and dataset records are retained using stable URLs/IDs when a DOI is</x:v>
      </x:c>
    </x:row>
    <x:row r="54">
      <x:c r="A54" t="str">
        <x:v>not available. Run `verify_dois_crossref.py` from a machine with internet access before final journal</x:v>
      </x:c>
    </x:row>
    <x:row r="55">
      <x:c r="A55" t="str">
        <x:v>submission.</x:v>
      </x:c>
    </x:row>
    <x:row r="56">
      <x:c r="A56" t="str"/>
    </x:row>
    <x:row r="57">
      <x:c r="A57" t="str">
        <x:v>## Category counts</x:v>
      </x:c>
    </x:row>
    <x:row r="58">
      <x:c r="A58" t="str"/>
    </x:row>
    <x:row r="59">
      <x:c r="A59" t="str">
        <x:v>- 01_Core_Clinical_TS: 20</x:v>
      </x:c>
    </x:row>
    <x:row r="60">
      <x:c r="A60" t="str">
        <x:v>- 02_Adjacent_Multilingual_TS: 21</x:v>
      </x:c>
    </x:row>
    <x:row r="61">
      <x:c r="A61" t="str">
        <x:v>- 03_Adjacent_Bangla_NLP: 17</x:v>
      </x:c>
    </x:row>
    <x:row r="62">
      <x:c r="A62" t="str">
        <x:v>- 04_Factuality_Methods: 26</x:v>
      </x:c>
    </x:row>
    <x:row r="63">
      <x:c r="A63" t="str">
        <x:v>- 05_Constrained_Decoding: 12</x:v>
      </x:c>
    </x:row>
    <x:row r="64">
      <x:c r="A64" t="str">
        <x:v>- 06_RAG_KG_Medical: 18</x:v>
      </x:c>
    </x:row>
    <x:row r="65">
      <x:c r="A65" t="str">
        <x:v>- 07_Evaluation_Methods: 20</x:v>
      </x:c>
    </x:row>
    <x:row r="66">
      <x:c r="A66" t="str">
        <x:v>- 07_Medical_NLI: 14</x:v>
      </x:c>
    </x:row>
    <x:row r="67">
      <x:c r="A67" t="str">
        <x:v>- 08_Systematic_Review_Methods: 17</x:v>
      </x:c>
    </x:row>
    <x:row r="68">
      <x:c r="A68" t="str">
        <x:v>- 10_LLM_Backbones_LowResource: 20</x:v>
      </x:c>
    </x:row>
    <x:row r="69">
      <x:c r="A69" t="str">
        <x:v>- 11_Clinical_NLP_Datasets: 15</x:v>
      </x:c>
    </x:row>
    <x:row r="70">
      <x:c r="A70" t="str">
        <x:v>- 12_Clinical_Summarization_Health_Literacy: 15</x:v>
      </x:c>
    </x:row>
    <x:row r="71">
      <x:c r="A71" t="str"/>
    </x:row>
    <x:row r="72">
      <x:c r="A72" t="str">
        <x:v>## Overleaf usage</x:v>
      </x:c>
    </x:row>
    <x:row r="73">
      <x:c r="A73" t="str"/>
    </x:row>
    <x:row r="74">
      <x:c r="A74" t="str">
        <x:v>1. Upload `overleaf_elsarticle_starter.tex` and `factuality_clinical_ts_bangla_215refs.bib` to Overleaf.</x:v>
      </x:c>
    </x:row>
    <x:row r="75">
      <x:c r="A75" t="str">
        <x:v>2. Rename the `.tex` file to `main.tex` if desired.</x:v>
      </x:c>
    </x:row>
    <x:row r="76">
      <x:c r="A76" t="str">
        <x:v>3. Compile with pdfLaTeX + BibTeX.</x:v>
      </x:c>
    </x:row>
    <x:row r="77">
      <x:c r="A77" t="str">
        <x:v>4. Use `citation_key_groups.md` to select citation keys by section.</x:v>
      </x:c>
    </x:row>
    <x:row r="78">
      <x:c r="A78" t="str"/>
    </x:row>
    <x:row r="79">
      <x:c r="A79" t="str">
        <x:v>## Zotero usage</x:v>
      </x:c>
    </x:row>
    <x:row r="80">
      <x:c r="A80" t="str"/>
    </x:row>
    <x:row r="81">
      <x:c r="A81" t="str">
        <x:v>1. Import `factuality_clinical_ts_bangla_215refs.bib` into Zotero.</x:v>
      </x:c>
    </x:row>
    <x:row r="82">
      <x:c r="A82" t="str">
        <x:v>2. Create the collections listed in `zotero_collections.csv`.</x:v>
      </x:c>
    </x:row>
    <x:row r="83">
      <x:c r="A83" t="str">
        <x:v>3. Use `controlled_tags.csv` for controlled vocabulary tagging.</x:v>
      </x:c>
    </x:row>
    <x:row r="84">
      <x:c r="A84" t="str">
        <x:v>4. Run duplicate detection.</x:v>
      </x:c>
    </x:row>
    <x:row r="85">
      <x:c r="A85" t="str">
        <x:v>5. Attach PDFs and run the DOI verification queue.</x:v>
      </x:c>
    </x:row>
    <x:row r="86">
      <x:c r="A86" t="str">
        <x:v>6. Export with Better BibTeX after verification.</x:v>
      </x:c>
    </x:row>
    <x:row r="87">
      <x:c r="A87" t="str"/>
    </x:row>
    <x:row r="88">
      <x:c r="A88" t="str">
        <x:v>## Bibliomatrix usage</x:v>
      </x:c>
    </x:row>
    <x:row r="89">
      <x:c r="A89" t="str"/>
    </x:row>
    <x:row r="90">
      <x:c r="A90" t="str">
        <x:v>Open `bibliomatrix_master.xlsx` for a spreadsheet version or use the CSVs directly in R/VOSviewer.</x:v>
      </x:c>
    </x:row>
    <x:row r="91">
      <x:c r="A91" t="str"/>
    </x:row>
    <x:row r="92">
      <x:c r="A92" t="str">
        <x:v>- `matrix_paper_x_factuality_mechanism.csv`</x:v>
      </x:c>
    </x:row>
    <x:row r="93">
      <x:c r="A93" t="str">
        <x:v>- `matrix_paper_x_bangla_relevance.csv`</x:v>
      </x:c>
    </x:row>
    <x:row r="94">
      <x:c r="A94" t="str">
        <x:v>- `matrix_paper_x_controlled_tags.csv`</x:v>
      </x:c>
    </x:row>
    <x:row r="95">
      <x:c r="A95" t="str"/>
    </x:row>
    <x:row r="96">
      <x:c r="A96" t="str">
        <x:v>For Bibliometrix, run:</x:v>
      </x:c>
    </x:row>
    <x:row r="97">
      <x:c r="A97" t="str"/>
    </x:row>
    <x:row r="98">
      <x:c r="A98" t="str">
        <x:v>```r</x:v>
      </x:c>
    </x:row>
    <x:row r="99">
      <x:c r="A99" t="str">
        <x:v>source("generate_bibliomatrix.R")</x:v>
      </x:c>
    </x:row>
    <x:row r="100">
      <x:c r="A100" t="str">
        <x:v>```</x:v>
      </x:c>
    </x:row>
    <x:row r="101">
      <x:c r="A101" t="str"/>
    </x:row>
    <x:row r="102">
      <x:c r="A102" t="str">
        <x:v>For DOI checking, run:</x:v>
      </x:c>
    </x:row>
    <x:row r="103">
      <x:c r="A103" t="str"/>
    </x:row>
    <x:row r="104">
      <x:c r="A104" t="str">
        <x:v>```bash</x:v>
      </x:c>
    </x:row>
    <x:row r="105">
      <x:c r="A105" t="str">
        <x:v>python verify_dois_crossref.py factuality_clinical_ts_bangla_215refs.bib</x:v>
      </x:c>
    </x:row>
    <x:row r="106">
      <x:c r="A106" t="str">
        <x:v>```</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14" hidden="0" customWidth="1"/>
    <x:col min="3" max="3" width="36"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s>
  <x:sheetData>
    <x:row r="1">
      <x:c r="A1" s="23" t="str">
        <x:v>citekey</x:v>
      </x:c>
      <x:c r="B1" s="23" t="str">
        <x:v>year</x:v>
      </x:c>
      <x:c r="C1" s="23" t="str">
        <x:v>title</x:v>
      </x:c>
      <x:c r="D1" s="23" t="str">
        <x:v>category</x:v>
      </x:c>
      <x:c r="E1" s="23" t="str">
        <x:v>factuality</x:v>
      </x:c>
      <x:c r="F1" s="23" t="str">
        <x:v>readability</x:v>
      </x:c>
      <x:c r="G1" s="23" t="str">
        <x:v>bangla</x:v>
      </x:c>
      <x:c r="H1" s="23" t="str">
        <x:v>indic</x:v>
      </x:c>
      <x:c r="I1" s="23" t="str">
        <x:v>multilingual</x:v>
      </x:c>
      <x:c r="J1" s="23" t="str">
        <x:v>low-resource</x:v>
      </x:c>
      <x:c r="K1" s="23" t="str">
        <x:v>ner</x:v>
      </x:c>
      <x:c r="L1" s="23" t="str">
        <x:v>nli</x:v>
      </x:c>
      <x:c r="M1" s="23" t="str">
        <x:v>rag</x:v>
      </x:c>
      <x:c r="N1" s="23" t="str">
        <x:v>graph</x:v>
      </x:c>
      <x:c r="O1" s="23" t="str">
        <x:v>constrained-decoding</x:v>
      </x:c>
      <x:c r="P1" s="23" t="str">
        <x:v>mt5</x:v>
      </x:c>
      <x:c r="Q1" s="23" t="str">
        <x:v>llm</x:v>
      </x:c>
      <x:c r="R1" s="23" t="str">
        <x:v>expert-validated</x:v>
      </x:c>
      <x:c r="S1" s="23" t="str">
        <x:v>synthetic</x:v>
      </x:c>
      <x:c r="T1" s="23" t="str">
        <x:v>human-eval</x:v>
      </x:c>
      <x:c r="U1" s="23" t="str">
        <x:v>systematic-review</x:v>
      </x:c>
      <x:c r="V1" s="23" t="str">
        <x:v>dataset</x:v>
      </x:c>
      <x:c r="W1" s="23" t="str">
        <x:v>medical-text-simplification</x:v>
      </x:c>
      <x:c r="X1" s="23" t="str">
        <x:v>health-literacy</x:v>
      </x:c>
      <x:c r="Y1" s="23" t="str">
        <x:v>medical-nli</x:v>
      </x:c>
      <x:c r="Z1" s="23" t="str">
        <x:v>baseline</x:v>
      </x:c>
    </x:row>
    <x:row r="2">
      <x:c r="A2" t="str">
        <x:v>basu2023_med_easi_finely</x:v>
      </x:c>
      <x:c r="B2" t="str">
        <x:v>2023</x:v>
      </x:c>
      <x:c r="C2" t="str">
        <x:v>Med-EASi: Finely Annotated Dataset and Models for Controllable Simplification of Medical Texts</x:v>
      </x:c>
      <x:c r="D2" t="str">
        <x:v>01_Core_Clinical_TS</x:v>
      </x:c>
      <x:c r="E2" t="n">
        <x:v>0</x:v>
      </x:c>
      <x:c r="F2" t="n">
        <x:v>1</x:v>
      </x:c>
      <x:c r="G2" t="n">
        <x:v>0</x:v>
      </x:c>
      <x:c r="H2" t="n">
        <x:v>0</x:v>
      </x:c>
      <x:c r="I2" t="n">
        <x:v>0</x:v>
      </x:c>
      <x:c r="J2" t="n">
        <x:v>0</x:v>
      </x:c>
      <x:c r="K2" t="n">
        <x:v>0</x:v>
      </x:c>
      <x:c r="L2" t="n">
        <x:v>0</x:v>
      </x:c>
      <x:c r="M2" t="n">
        <x:v>0</x:v>
      </x:c>
      <x:c r="N2" t="n">
        <x:v>0</x:v>
      </x:c>
      <x:c r="O2" t="n">
        <x:v>0</x:v>
      </x:c>
      <x:c r="P2" t="n">
        <x:v>0</x:v>
      </x:c>
      <x:c r="Q2" t="n">
        <x:v>0</x:v>
      </x:c>
      <x:c r="R2" t="n">
        <x:v>1</x:v>
      </x:c>
      <x:c r="S2" t="n">
        <x:v>0</x:v>
      </x:c>
      <x:c r="T2" t="n">
        <x:v>0</x:v>
      </x:c>
      <x:c r="U2" t="n">
        <x:v>0</x:v>
      </x:c>
      <x:c r="V2" t="n">
        <x:v>1</x:v>
      </x:c>
      <x:c r="W2" t="n">
        <x:v>1</x:v>
      </x:c>
      <x:c r="X2" t="n">
        <x:v>0</x:v>
      </x:c>
      <x:c r="Y2" t="n">
        <x:v>0</x:v>
      </x:c>
      <x:c r="Z2" t="n">
        <x:v>0</x:v>
      </x:c>
    </x:row>
    <x:row r="3">
      <x:c r="A3" t="str">
        <x:v>horiguchi2025_multimsd_multilingual_medical</x:v>
      </x:c>
      <x:c r="B3" t="str">
        <x:v>2025</x:v>
      </x:c>
      <x:c r="C3" t="str">
        <x:v>MultiMSD: A Corpus for Multilingual Medical Text Simplification from Online Medical References</x:v>
      </x:c>
      <x:c r="D3" t="str">
        <x:v>01_Core_Clinical_TS</x:v>
      </x:c>
      <x:c r="E3" t="n">
        <x:v>0</x:v>
      </x:c>
      <x:c r="F3" t="n">
        <x:v>0</x:v>
      </x:c>
      <x:c r="G3" t="n">
        <x:v>0</x:v>
      </x:c>
      <x:c r="H3" t="n">
        <x:v>0</x:v>
      </x:c>
      <x:c r="I3" t="n">
        <x:v>1</x:v>
      </x:c>
      <x:c r="J3" t="n">
        <x:v>0</x:v>
      </x:c>
      <x:c r="K3" t="n">
        <x:v>0</x:v>
      </x:c>
      <x:c r="L3" t="n">
        <x:v>0</x:v>
      </x:c>
      <x:c r="M3" t="n">
        <x:v>0</x:v>
      </x:c>
      <x:c r="N3" t="n">
        <x:v>0</x:v>
      </x:c>
      <x:c r="O3" t="n">
        <x:v>0</x:v>
      </x:c>
      <x:c r="P3" t="n">
        <x:v>0</x:v>
      </x:c>
      <x:c r="Q3" t="n">
        <x:v>0</x:v>
      </x:c>
      <x:c r="R3" t="n">
        <x:v>0</x:v>
      </x:c>
      <x:c r="S3" t="n">
        <x:v>0</x:v>
      </x:c>
      <x:c r="T3" t="n">
        <x:v>0</x:v>
      </x:c>
      <x:c r="U3" t="n">
        <x:v>0</x:v>
      </x:c>
      <x:c r="V3" t="n">
        <x:v>1</x:v>
      </x:c>
      <x:c r="W3" t="n">
        <x:v>1</x:v>
      </x:c>
      <x:c r="X3" t="n">
        <x:v>0</x:v>
      </x:c>
      <x:c r="Y3" t="n">
        <x:v>0</x:v>
      </x:c>
      <x:c r="Z3" t="n">
        <x:v>0</x:v>
      </x:c>
    </x:row>
    <x:row r="4">
      <x:c r="A4" t="str">
        <x:v>joseph2023_multilingual_simplification_medical</x:v>
      </x:c>
      <x:c r="B4" t="str">
        <x:v>2023</x:v>
      </x:c>
      <x:c r="C4" t="str">
        <x:v>Multilingual Simplification of Medical Texts</x:v>
      </x:c>
      <x:c r="D4" t="str">
        <x:v>01_Core_Clinical_TS</x:v>
      </x:c>
      <x:c r="E4" t="n">
        <x:v>0</x:v>
      </x:c>
      <x:c r="F4" t="n">
        <x:v>0</x:v>
      </x:c>
      <x:c r="G4" t="n">
        <x:v>0</x:v>
      </x:c>
      <x:c r="H4" t="n">
        <x:v>0</x:v>
      </x:c>
      <x:c r="I4" t="n">
        <x:v>1</x:v>
      </x:c>
      <x:c r="J4" t="n">
        <x:v>0</x:v>
      </x:c>
      <x:c r="K4" t="n">
        <x:v>0</x:v>
      </x:c>
      <x:c r="L4" t="n">
        <x:v>0</x:v>
      </x:c>
      <x:c r="M4" t="n">
        <x:v>0</x:v>
      </x:c>
      <x:c r="N4" t="n">
        <x:v>0</x:v>
      </x:c>
      <x:c r="O4" t="n">
        <x:v>0</x:v>
      </x:c>
      <x:c r="P4" t="n">
        <x:v>0</x:v>
      </x:c>
      <x:c r="Q4" t="n">
        <x:v>0</x:v>
      </x:c>
      <x:c r="R4" t="n">
        <x:v>0</x:v>
      </x:c>
      <x:c r="S4" t="n">
        <x:v>0</x:v>
      </x:c>
      <x:c r="T4" t="n">
        <x:v>1</x:v>
      </x:c>
      <x:c r="U4" t="n">
        <x:v>0</x:v>
      </x:c>
      <x:c r="V4" t="n">
        <x:v>1</x:v>
      </x:c>
      <x:c r="W4" t="n">
        <x:v>1</x:v>
      </x:c>
      <x:c r="X4" t="n">
        <x:v>0</x:v>
      </x:c>
      <x:c r="Y4" t="n">
        <x:v>0</x:v>
      </x:c>
      <x:c r="Z4" t="n">
        <x:v>0</x:v>
      </x:c>
    </x:row>
    <x:row r="5">
      <x:c r="A5" t="str">
        <x:v>bakker2024_cochrane_auto_aligned</x:v>
      </x:c>
      <x:c r="B5" t="str">
        <x:v>2024</x:v>
      </x:c>
      <x:c r="C5" t="str">
        <x:v>Cochrane-auto: An Aligned Dataset for the Simplification of Biomedical Abstracts</x:v>
      </x:c>
      <x:c r="D5" t="str">
        <x:v>01_Core_Clinical_TS</x:v>
      </x:c>
      <x:c r="E5" t="n">
        <x:v>0</x:v>
      </x:c>
      <x:c r="F5" t="n">
        <x:v>1</x:v>
      </x:c>
      <x:c r="G5" t="n">
        <x:v>0</x:v>
      </x:c>
      <x:c r="H5" t="n">
        <x:v>0</x:v>
      </x:c>
      <x:c r="I5" t="n">
        <x:v>0</x:v>
      </x:c>
      <x:c r="J5" t="n">
        <x:v>0</x:v>
      </x:c>
      <x:c r="K5" t="n">
        <x:v>0</x:v>
      </x:c>
      <x:c r="L5" t="n">
        <x:v>0</x:v>
      </x:c>
      <x:c r="M5" t="n">
        <x:v>0</x:v>
      </x:c>
      <x:c r="N5" t="n">
        <x:v>0</x:v>
      </x:c>
      <x:c r="O5" t="n">
        <x:v>0</x:v>
      </x:c>
      <x:c r="P5" t="n">
        <x:v>0</x:v>
      </x:c>
      <x:c r="Q5" t="n">
        <x:v>0</x:v>
      </x:c>
      <x:c r="R5" t="n">
        <x:v>0</x:v>
      </x:c>
      <x:c r="S5" t="n">
        <x:v>1</x:v>
      </x:c>
      <x:c r="T5" t="n">
        <x:v>0</x:v>
      </x:c>
      <x:c r="U5" t="n">
        <x:v>0</x:v>
      </x:c>
      <x:c r="V5" t="n">
        <x:v>1</x:v>
      </x:c>
      <x:c r="W5" t="n">
        <x:v>0</x:v>
      </x:c>
      <x:c r="X5" t="n">
        <x:v>0</x:v>
      </x:c>
      <x:c r="Y5" t="n">
        <x:v>0</x:v>
      </x:c>
      <x:c r="Z5" t="n">
        <x:v>0</x:v>
      </x:c>
    </x:row>
    <x:row r="6">
      <x:c r="A6" t="str">
        <x:v>yao2024_readme_bridging_medical</x:v>
      </x:c>
      <x:c r="B6" t="str">
        <x:v>2024</x:v>
      </x:c>
      <x:c r="C6" t="str">
        <x:v>README: Bridging Medical Jargon and Lay Understanding for Patient Education through Data-Centric NLP</x:v>
      </x:c>
      <x:c r="D6" t="str">
        <x:v>01_Core_Clinical_TS</x:v>
      </x:c>
      <x:c r="E6" t="n">
        <x:v>0</x:v>
      </x:c>
      <x:c r="F6" t="n">
        <x:v>0</x:v>
      </x:c>
      <x:c r="G6" t="n">
        <x:v>0</x:v>
      </x:c>
      <x:c r="H6" t="n">
        <x:v>0</x:v>
      </x:c>
      <x:c r="I6" t="n">
        <x:v>0</x:v>
      </x:c>
      <x:c r="J6" t="n">
        <x:v>0</x:v>
      </x:c>
      <x:c r="K6" t="n">
        <x:v>0</x:v>
      </x:c>
      <x:c r="L6" t="n">
        <x:v>0</x:v>
      </x:c>
      <x:c r="M6" t="n">
        <x:v>0</x:v>
      </x:c>
      <x:c r="N6" t="n">
        <x:v>0</x:v>
      </x:c>
      <x:c r="O6" t="n">
        <x:v>0</x:v>
      </x:c>
      <x:c r="P6" t="n">
        <x:v>0</x:v>
      </x:c>
      <x:c r="Q6" t="n">
        <x:v>0</x:v>
      </x:c>
      <x:c r="R6" t="n">
        <x:v>1</x:v>
      </x:c>
      <x:c r="S6" t="n">
        <x:v>0</x:v>
      </x:c>
      <x:c r="T6" t="n">
        <x:v>0</x:v>
      </x:c>
      <x:c r="U6" t="n">
        <x:v>0</x:v>
      </x:c>
      <x:c r="V6" t="n">
        <x:v>1</x:v>
      </x:c>
      <x:c r="W6" t="n">
        <x:v>0</x:v>
      </x:c>
      <x:c r="X6" t="n">
        <x:v>0</x:v>
      </x:c>
      <x:c r="Y6" t="n">
        <x:v>0</x:v>
      </x:c>
      <x:c r="Z6" t="n">
        <x:v>0</x:v>
      </x:c>
    </x:row>
    <x:row r="7">
      <x:c r="A7" t="str">
        <x:v>devaraj2021_paragraph_level_simplification</x:v>
      </x:c>
      <x:c r="B7" t="str">
        <x:v>2021</x:v>
      </x:c>
      <x:c r="C7" t="str">
        <x:v>Paragraph-level Simplification of Medical Texts</x:v>
      </x:c>
      <x:c r="D7" t="str">
        <x:v>01_Core_Clinical_TS</x:v>
      </x:c>
      <x:c r="E7" t="n">
        <x:v>0</x:v>
      </x:c>
      <x:c r="F7" t="n">
        <x:v>1</x:v>
      </x:c>
      <x:c r="G7" t="n">
        <x:v>0</x:v>
      </x:c>
      <x:c r="H7" t="n">
        <x:v>0</x:v>
      </x:c>
      <x:c r="I7" t="n">
        <x:v>0</x:v>
      </x:c>
      <x:c r="J7" t="n">
        <x:v>0</x:v>
      </x:c>
      <x:c r="K7" t="n">
        <x:v>0</x:v>
      </x:c>
      <x:c r="L7" t="n">
        <x:v>0</x:v>
      </x:c>
      <x:c r="M7" t="n">
        <x:v>0</x:v>
      </x:c>
      <x:c r="N7" t="n">
        <x:v>0</x:v>
      </x:c>
      <x:c r="O7" t="n">
        <x:v>0</x:v>
      </x:c>
      <x:c r="P7" t="n">
        <x:v>0</x:v>
      </x:c>
      <x:c r="Q7" t="n">
        <x:v>0</x:v>
      </x:c>
      <x:c r="R7" t="n">
        <x:v>0</x:v>
      </x:c>
      <x:c r="S7" t="n">
        <x:v>0</x:v>
      </x:c>
      <x:c r="T7" t="n">
        <x:v>0</x:v>
      </x:c>
      <x:c r="U7" t="n">
        <x:v>0</x:v>
      </x:c>
      <x:c r="V7" t="n">
        <x:v>0</x:v>
      </x:c>
      <x:c r="W7" t="n">
        <x:v>1</x:v>
      </x:c>
      <x:c r="X7" t="n">
        <x:v>0</x:v>
      </x:c>
      <x:c r="Y7" t="n">
        <x:v>0</x:v>
      </x:c>
      <x:c r="Z7" t="n">
        <x:v>0</x:v>
      </x:c>
    </x:row>
    <x:row r="8">
      <x:c r="A8" t="str">
        <x:v>devaraj2022_evaluating_factuality_text</x:v>
      </x:c>
      <x:c r="B8" t="str">
        <x:v>2022</x:v>
      </x:c>
      <x:c r="C8" t="str">
        <x:v>Evaluating Factuality in Text Simplification</x:v>
      </x:c>
      <x:c r="D8" t="str">
        <x:v>01_Core_Clinical_TS</x:v>
      </x:c>
      <x:c r="E8" t="n">
        <x:v>1</x:v>
      </x:c>
      <x:c r="F8" t="n">
        <x:v>0</x:v>
      </x:c>
      <x:c r="G8" t="n">
        <x:v>0</x:v>
      </x:c>
      <x:c r="H8" t="n">
        <x:v>0</x:v>
      </x:c>
      <x:c r="I8" t="n">
        <x:v>0</x:v>
      </x:c>
      <x:c r="J8" t="n">
        <x:v>0</x:v>
      </x:c>
      <x:c r="K8" t="n">
        <x:v>0</x:v>
      </x:c>
      <x:c r="L8" t="n">
        <x:v>0</x:v>
      </x:c>
      <x:c r="M8" t="n">
        <x:v>0</x:v>
      </x:c>
      <x:c r="N8" t="n">
        <x:v>0</x:v>
      </x:c>
      <x:c r="O8" t="n">
        <x:v>0</x:v>
      </x:c>
      <x:c r="P8" t="n">
        <x:v>0</x:v>
      </x:c>
      <x:c r="Q8" t="n">
        <x:v>0</x:v>
      </x:c>
      <x:c r="R8" t="n">
        <x:v>0</x:v>
      </x:c>
      <x:c r="S8" t="n">
        <x:v>0</x:v>
      </x:c>
      <x:c r="T8" t="n">
        <x:v>1</x:v>
      </x:c>
      <x:c r="U8" t="n">
        <x:v>0</x:v>
      </x:c>
      <x:c r="V8" t="n">
        <x:v>0</x:v>
      </x:c>
      <x:c r="W8" t="n">
        <x:v>0</x:v>
      </x:c>
      <x:c r="X8" t="n">
        <x:v>0</x:v>
      </x:c>
      <x:c r="Y8" t="n">
        <x:v>0</x:v>
      </x:c>
      <x:c r="Z8" t="n">
        <x:v>0</x:v>
      </x:c>
    </x:row>
    <x:row r="9">
      <x:c r="A9" t="str">
        <x:v>flores2023_medical_text_simplification</x:v>
      </x:c>
      <x:c r="B9" t="str">
        <x:v>2023</x:v>
      </x:c>
      <x:c r="C9" t="str">
        <x:v>Medical Text Simplification: Optimizing for Readability with Unlikelihood Training and Reranked Beam Search Decoding</x:v>
      </x:c>
      <x:c r="D9" t="str">
        <x:v>01_Core_Clinical_TS</x:v>
      </x:c>
      <x:c r="E9" t="n">
        <x:v>0</x:v>
      </x:c>
      <x:c r="F9" t="n">
        <x:v>1</x:v>
      </x:c>
      <x:c r="G9" t="n">
        <x:v>0</x:v>
      </x:c>
      <x:c r="H9" t="n">
        <x:v>0</x:v>
      </x:c>
      <x:c r="I9" t="n">
        <x:v>0</x:v>
      </x:c>
      <x:c r="J9" t="n">
        <x:v>0</x:v>
      </x:c>
      <x:c r="K9" t="n">
        <x:v>0</x:v>
      </x:c>
      <x:c r="L9" t="n">
        <x:v>0</x:v>
      </x:c>
      <x:c r="M9" t="n">
        <x:v>0</x:v>
      </x:c>
      <x:c r="N9" t="n">
        <x:v>0</x:v>
      </x:c>
      <x:c r="O9" t="n">
        <x:v>1</x:v>
      </x:c>
      <x:c r="P9" t="n">
        <x:v>0</x:v>
      </x:c>
      <x:c r="Q9" t="n">
        <x:v>0</x:v>
      </x:c>
      <x:c r="R9" t="n">
        <x:v>0</x:v>
      </x:c>
      <x:c r="S9" t="n">
        <x:v>0</x:v>
      </x:c>
      <x:c r="T9" t="n">
        <x:v>0</x:v>
      </x:c>
      <x:c r="U9" t="n">
        <x:v>0</x:v>
      </x:c>
      <x:c r="V9" t="n">
        <x:v>0</x:v>
      </x:c>
      <x:c r="W9" t="n">
        <x:v>1</x:v>
      </x:c>
      <x:c r="X9" t="n">
        <x:v>0</x:v>
      </x:c>
      <x:c r="Y9" t="n">
        <x:v>0</x:v>
      </x:c>
      <x:c r="Z9" t="n">
        <x:v>0</x:v>
      </x:c>
    </x:row>
    <x:row r="10">
      <x:c r="A10" t="str">
        <x:v>phatak2022_medical_text_simplification</x:v>
      </x:c>
      <x:c r="B10" t="str">
        <x:v>2022</x:v>
      </x:c>
      <x:c r="C10" t="str">
        <x:v>Medical Text Simplification Using Reinforcement Learning (TESLEA): Deep Learning-Based Text Simplification Approach</x:v>
      </x:c>
      <x:c r="D10" t="str">
        <x:v>01_Core_Clinical_TS</x:v>
      </x:c>
      <x:c r="E10" t="n">
        <x:v>0</x:v>
      </x:c>
      <x:c r="F10" t="n">
        <x:v>1</x:v>
      </x:c>
      <x:c r="G10" t="n">
        <x:v>0</x:v>
      </x:c>
      <x:c r="H10" t="n">
        <x:v>0</x:v>
      </x:c>
      <x:c r="I10" t="n">
        <x:v>0</x:v>
      </x:c>
      <x:c r="J10" t="n">
        <x:v>0</x:v>
      </x:c>
      <x:c r="K10" t="n">
        <x:v>0</x:v>
      </x:c>
      <x:c r="L10" t="n">
        <x:v>0</x:v>
      </x:c>
      <x:c r="M10" t="n">
        <x:v>0</x:v>
      </x:c>
      <x:c r="N10" t="n">
        <x:v>0</x:v>
      </x:c>
      <x:c r="O10" t="n">
        <x:v>0</x:v>
      </x:c>
      <x:c r="P10" t="n">
        <x:v>0</x:v>
      </x:c>
      <x:c r="Q10" t="n">
        <x:v>0</x:v>
      </x:c>
      <x:c r="R10" t="n">
        <x:v>0</x:v>
      </x:c>
      <x:c r="S10" t="n">
        <x:v>0</x:v>
      </x:c>
      <x:c r="T10" t="n">
        <x:v>0</x:v>
      </x:c>
      <x:c r="U10" t="n">
        <x:v>0</x:v>
      </x:c>
      <x:c r="V10" t="n">
        <x:v>0</x:v>
      </x:c>
      <x:c r="W10" t="n">
        <x:v>1</x:v>
      </x:c>
      <x:c r="X10" t="n">
        <x:v>0</x:v>
      </x:c>
      <x:c r="Y10" t="n">
        <x:v>0</x:v>
      </x:c>
      <x:c r="Z10" t="n">
        <x:v>0</x:v>
      </x:c>
    </x:row>
    <x:row r="11">
      <x:c r="A11" t="str">
        <x:v>moramarco2022_more_patient_friendly</x:v>
      </x:c>
      <x:c r="B11" t="str">
        <x:v>2022</x:v>
      </x:c>
      <x:c r="C11" t="str">
        <x:v>Towards More Patient Friendly Clinical Notes through Language Models and Ontologies</x:v>
      </x:c>
      <x:c r="D11" t="str">
        <x:v>01_Core_Clinical_TS</x:v>
      </x:c>
      <x:c r="E11" t="n">
        <x:v>0</x:v>
      </x:c>
      <x:c r="F11" t="n">
        <x:v>1</x:v>
      </x:c>
      <x:c r="G11" t="n">
        <x:v>0</x:v>
      </x:c>
      <x:c r="H11" t="n">
        <x:v>0</x:v>
      </x:c>
      <x:c r="I11" t="n">
        <x:v>0</x:v>
      </x:c>
      <x:c r="J11" t="n">
        <x:v>0</x:v>
      </x:c>
      <x:c r="K11" t="n">
        <x:v>0</x:v>
      </x:c>
      <x:c r="L11" t="n">
        <x:v>0</x:v>
      </x:c>
      <x:c r="M11" t="n">
        <x:v>0</x:v>
      </x:c>
      <x:c r="N11" t="n">
        <x:v>0</x:v>
      </x:c>
      <x:c r="O11" t="n">
        <x:v>0</x:v>
      </x:c>
      <x:c r="P11" t="n">
        <x:v>0</x:v>
      </x:c>
      <x:c r="Q11" t="n">
        <x:v>0</x:v>
      </x:c>
      <x:c r="R11" t="n">
        <x:v>0</x:v>
      </x:c>
      <x:c r="S11" t="n">
        <x:v>0</x:v>
      </x:c>
      <x:c r="T11" t="n">
        <x:v>0</x:v>
      </x:c>
      <x:c r="U11" t="n">
        <x:v>0</x:v>
      </x:c>
      <x:c r="V11" t="n">
        <x:v>0</x:v>
      </x:c>
      <x:c r="W11" t="n">
        <x:v>0</x:v>
      </x:c>
      <x:c r="X11" t="n">
        <x:v>0</x:v>
      </x:c>
      <x:c r="Y11" t="n">
        <x:v>0</x:v>
      </x:c>
      <x:c r="Z11" t="n">
        <x:v>0</x:v>
      </x:c>
    </x:row>
    <x:row r="12">
      <x:c r="A12" t="str">
        <x:v>trienes2022_patient_friendly_clinical</x:v>
      </x:c>
      <x:c r="B12" t="str">
        <x:v>2022</x:v>
      </x:c>
      <x:c r="C12" t="str">
        <x:v>Patient-Friendly Clinical Notes: Towards a New Text Simplification Dataset</x:v>
      </x:c>
      <x:c r="D12" t="str">
        <x:v>01_Core_Clinical_TS</x:v>
      </x:c>
      <x:c r="E12" t="n">
        <x:v>0</x:v>
      </x:c>
      <x:c r="F12" t="n">
        <x:v>1</x:v>
      </x:c>
      <x:c r="G12" t="n">
        <x:v>0</x:v>
      </x:c>
      <x:c r="H12" t="n">
        <x:v>0</x:v>
      </x:c>
      <x:c r="I12" t="n">
        <x:v>0</x:v>
      </x:c>
      <x:c r="J12" t="n">
        <x:v>0</x:v>
      </x:c>
      <x:c r="K12" t="n">
        <x:v>0</x:v>
      </x:c>
      <x:c r="L12" t="n">
        <x:v>0</x:v>
      </x:c>
      <x:c r="M12" t="n">
        <x:v>0</x:v>
      </x:c>
      <x:c r="N12" t="n">
        <x:v>0</x:v>
      </x:c>
      <x:c r="O12" t="n">
        <x:v>0</x:v>
      </x:c>
      <x:c r="P12" t="n">
        <x:v>0</x:v>
      </x:c>
      <x:c r="Q12" t="n">
        <x:v>0</x:v>
      </x:c>
      <x:c r="R12" t="n">
        <x:v>0</x:v>
      </x:c>
      <x:c r="S12" t="n">
        <x:v>0</x:v>
      </x:c>
      <x:c r="T12" t="n">
        <x:v>0</x:v>
      </x:c>
      <x:c r="U12" t="n">
        <x:v>0</x:v>
      </x:c>
      <x:c r="V12" t="n">
        <x:v>1</x:v>
      </x:c>
      <x:c r="W12" t="n">
        <x:v>0</x:v>
      </x:c>
      <x:c r="X12" t="n">
        <x:v>0</x:v>
      </x:c>
      <x:c r="Y12" t="n">
        <x:v>0</x:v>
      </x:c>
      <x:c r="Z12" t="n">
        <x:v>0</x:v>
      </x:c>
    </x:row>
    <x:row r="13">
      <x:c r="A13" t="str">
        <x:v>rahman2024_health_text_simplification</x:v>
      </x:c>
      <x:c r="B13" t="str">
        <x:v>2024</x:v>
      </x:c>
      <x:c r="C13" t="str">
        <x:v>Health Text Simplification: An Annotated Corpus for Digestive Cancer Education and Novel Strategies for Reinforcement Learning</x:v>
      </x:c>
      <x:c r="D13" t="str">
        <x:v>01_Core_Clinical_TS</x:v>
      </x:c>
      <x:c r="E13" t="n">
        <x:v>0</x:v>
      </x:c>
      <x:c r="F13" t="n">
        <x:v>0</x:v>
      </x:c>
      <x:c r="G13" t="n">
        <x:v>0</x:v>
      </x:c>
      <x:c r="H13" t="n">
        <x:v>0</x:v>
      </x:c>
      <x:c r="I13" t="n">
        <x:v>0</x:v>
      </x:c>
      <x:c r="J13" t="n">
        <x:v>0</x:v>
      </x:c>
      <x:c r="K13" t="n">
        <x:v>0</x:v>
      </x:c>
      <x:c r="L13" t="n">
        <x:v>0</x:v>
      </x:c>
      <x:c r="M13" t="n">
        <x:v>0</x:v>
      </x:c>
      <x:c r="N13" t="n">
        <x:v>0</x:v>
      </x:c>
      <x:c r="O13" t="n">
        <x:v>0</x:v>
      </x:c>
      <x:c r="P13" t="n">
        <x:v>0</x:v>
      </x:c>
      <x:c r="Q13" t="n">
        <x:v>0</x:v>
      </x:c>
      <x:c r="R13" t="n">
        <x:v>0</x:v>
      </x:c>
      <x:c r="S13" t="n">
        <x:v>0</x:v>
      </x:c>
      <x:c r="T13" t="n">
        <x:v>0</x:v>
      </x:c>
      <x:c r="U13" t="n">
        <x:v>0</x:v>
      </x:c>
      <x:c r="V13" t="n">
        <x:v>1</x:v>
      </x:c>
      <x:c r="W13" t="n">
        <x:v>0</x:v>
      </x:c>
      <x:c r="X13" t="n">
        <x:v>1</x:v>
      </x:c>
      <x:c r="Y13" t="n">
        <x:v>0</x:v>
      </x:c>
      <x:c r="Z13" t="n">
        <x:v>0</x:v>
      </x:c>
    </x:row>
    <x:row r="14">
      <x:c r="A14" t="str">
        <x:v>pavithra2025_bridging_health_literacy</x:v>
      </x:c>
      <x:c r="B14" t="str">
        <x:v>2025</x:v>
      </x:c>
      <x:c r="C14" t="str">
        <x:v>Bridging Health Literacy Gaps in Indian Languages: Multilingual LLMs for Clinical Text Simplification</x:v>
      </x:c>
      <x:c r="D14" t="str">
        <x:v>01_Core_Clinical_TS</x:v>
      </x:c>
      <x:c r="E14" t="n">
        <x:v>0</x:v>
      </x:c>
      <x:c r="F14" t="n">
        <x:v>0</x:v>
      </x:c>
      <x:c r="G14" t="n">
        <x:v>0</x:v>
      </x:c>
      <x:c r="H14" t="n">
        <x:v>0</x:v>
      </x:c>
      <x:c r="I14" t="n">
        <x:v>1</x:v>
      </x:c>
      <x:c r="J14" t="n">
        <x:v>1</x:v>
      </x:c>
      <x:c r="K14" t="n">
        <x:v>0</x:v>
      </x:c>
      <x:c r="L14" t="n">
        <x:v>0</x:v>
      </x:c>
      <x:c r="M14" t="n">
        <x:v>0</x:v>
      </x:c>
      <x:c r="N14" t="n">
        <x:v>0</x:v>
      </x:c>
      <x:c r="O14" t="n">
        <x:v>0</x:v>
      </x:c>
      <x:c r="P14" t="n">
        <x:v>0</x:v>
      </x:c>
      <x:c r="Q14" t="n">
        <x:v>1</x:v>
      </x:c>
      <x:c r="R14" t="n">
        <x:v>0</x:v>
      </x:c>
      <x:c r="S14" t="n">
        <x:v>0</x:v>
      </x:c>
      <x:c r="T14" t="n">
        <x:v>0</x:v>
      </x:c>
      <x:c r="U14" t="n">
        <x:v>0</x:v>
      </x:c>
      <x:c r="V14" t="n">
        <x:v>0</x:v>
      </x:c>
      <x:c r="W14" t="n">
        <x:v>0</x:v>
      </x:c>
      <x:c r="X14" t="n">
        <x:v>0</x:v>
      </x:c>
      <x:c r="Y14" t="n">
        <x:v>0</x:v>
      </x:c>
      <x:c r="Z14" t="n">
        <x:v>0</x:v>
      </x:c>
    </x:row>
    <x:row r="15">
      <x:c r="A15" t="str">
        <x:v>tran2025_medreadctrl_personalizing_medical</x:v>
      </x:c>
      <x:c r="B15" t="str">
        <x:v>2025</x:v>
      </x:c>
      <x:c r="C15" t="str">
        <x:v>MedReadCtrl: Personalizing Medical Text Generation with Readability-Controlled Instruction Learning</x:v>
      </x:c>
      <x:c r="D15" t="str">
        <x:v>01_Core_Clinical_TS</x:v>
      </x:c>
      <x:c r="E15" t="n">
        <x:v>0</x:v>
      </x:c>
      <x:c r="F15" t="n">
        <x:v>1</x:v>
      </x:c>
      <x:c r="G15" t="n">
        <x:v>0</x:v>
      </x:c>
      <x:c r="H15" t="n">
        <x:v>0</x:v>
      </x:c>
      <x:c r="I15" t="n">
        <x:v>0</x:v>
      </x:c>
      <x:c r="J15" t="n">
        <x:v>0</x:v>
      </x:c>
      <x:c r="K15" t="n">
        <x:v>0</x:v>
      </x:c>
      <x:c r="L15" t="n">
        <x:v>0</x:v>
      </x:c>
      <x:c r="M15" t="n">
        <x:v>0</x:v>
      </x:c>
      <x:c r="N15" t="n">
        <x:v>0</x:v>
      </x:c>
      <x:c r="O15" t="n">
        <x:v>0</x:v>
      </x:c>
      <x:c r="P15" t="n">
        <x:v>0</x:v>
      </x:c>
      <x:c r="Q15" t="n">
        <x:v>1</x:v>
      </x:c>
      <x:c r="R15" t="n">
        <x:v>0</x:v>
      </x:c>
      <x:c r="S15" t="n">
        <x:v>0</x:v>
      </x:c>
      <x:c r="T15" t="n">
        <x:v>0</x:v>
      </x:c>
      <x:c r="U15" t="n">
        <x:v>0</x:v>
      </x:c>
      <x:c r="V15" t="n">
        <x:v>0</x:v>
      </x:c>
      <x:c r="W15" t="n">
        <x:v>0</x:v>
      </x:c>
      <x:c r="X15" t="n">
        <x:v>0</x:v>
      </x:c>
      <x:c r="Y15" t="n">
        <x:v>0</x:v>
      </x:c>
      <x:c r="Z15" t="n">
        <x:v>0</x:v>
      </x:c>
    </x:row>
    <x:row r="16">
      <x:c r="A16" t="str">
        <x:v>qenam2017_text_simplification_consumer</x:v>
      </x:c>
      <x:c r="B16" t="str">
        <x:v>2017</x:v>
      </x:c>
      <x:c r="C16" t="str">
        <x:v>Text Simplification Using Consumer Health Vocabulary to Generate Patient-Centered Radiology Reporting: Translation and Evaluation</x:v>
      </x:c>
      <x:c r="D16" t="str">
        <x:v>01_Core_Clinical_TS</x:v>
      </x:c>
      <x:c r="E16" t="n">
        <x:v>0</x:v>
      </x:c>
      <x:c r="F16" t="n">
        <x:v>1</x:v>
      </x:c>
      <x:c r="G16" t="n">
        <x:v>0</x:v>
      </x:c>
      <x:c r="H16" t="n">
        <x:v>0</x:v>
      </x:c>
      <x:c r="I16" t="n">
        <x:v>0</x:v>
      </x:c>
      <x:c r="J16" t="n">
        <x:v>0</x:v>
      </x:c>
      <x:c r="K16" t="n">
        <x:v>0</x:v>
      </x:c>
      <x:c r="L16" t="n">
        <x:v>0</x:v>
      </x:c>
      <x:c r="M16" t="n">
        <x:v>0</x:v>
      </x:c>
      <x:c r="N16" t="n">
        <x:v>0</x:v>
      </x:c>
      <x:c r="O16" t="n">
        <x:v>0</x:v>
      </x:c>
      <x:c r="P16" t="n">
        <x:v>0</x:v>
      </x:c>
      <x:c r="Q16" t="n">
        <x:v>0</x:v>
      </x:c>
      <x:c r="R16" t="n">
        <x:v>0</x:v>
      </x:c>
      <x:c r="S16" t="n">
        <x:v>0</x:v>
      </x:c>
      <x:c r="T16" t="n">
        <x:v>0</x:v>
      </x:c>
      <x:c r="U16" t="n">
        <x:v>0</x:v>
      </x:c>
      <x:c r="V16" t="n">
        <x:v>0</x:v>
      </x:c>
      <x:c r="W16" t="n">
        <x:v>0</x:v>
      </x:c>
      <x:c r="X16" t="n">
        <x:v>0</x:v>
      </x:c>
      <x:c r="Y16" t="n">
        <x:v>0</x:v>
      </x:c>
      <x:c r="Z16" t="n">
        <x:v>0</x:v>
      </x:c>
    </x:row>
    <x:row r="17">
      <x:c r="A17" t="str">
        <x:v>makhmutova2024_medical_text_simplification</x:v>
      </x:c>
      <x:c r="B17" t="str">
        <x:v>2024</x:v>
      </x:c>
      <x:c r="C17" t="str">
        <x:v>Automated Medical Text Simplification for Enhanced Patient Understanding</x:v>
      </x:c>
      <x:c r="D17" t="str">
        <x:v>01_Core_Clinical_TS</x:v>
      </x:c>
      <x:c r="E17" t="n">
        <x:v>0</x:v>
      </x:c>
      <x:c r="F17" t="n">
        <x:v>0</x:v>
      </x:c>
      <x:c r="G17" t="n">
        <x:v>0</x:v>
      </x:c>
      <x:c r="H17" t="n">
        <x:v>0</x:v>
      </x:c>
      <x:c r="I17" t="n">
        <x:v>0</x:v>
      </x:c>
      <x:c r="J17" t="n">
        <x:v>0</x:v>
      </x:c>
      <x:c r="K17" t="n">
        <x:v>0</x:v>
      </x:c>
      <x:c r="L17" t="n">
        <x:v>0</x:v>
      </x:c>
      <x:c r="M17" t="n">
        <x:v>0</x:v>
      </x:c>
      <x:c r="N17" t="n">
        <x:v>0</x:v>
      </x:c>
      <x:c r="O17" t="n">
        <x:v>0</x:v>
      </x:c>
      <x:c r="P17" t="n">
        <x:v>0</x:v>
      </x:c>
      <x:c r="Q17" t="n">
        <x:v>1</x:v>
      </x:c>
      <x:c r="R17" t="n">
        <x:v>0</x:v>
      </x:c>
      <x:c r="S17" t="n">
        <x:v>0</x:v>
      </x:c>
      <x:c r="T17" t="n">
        <x:v>0</x:v>
      </x:c>
      <x:c r="U17" t="n">
        <x:v>0</x:v>
      </x:c>
      <x:c r="V17" t="n">
        <x:v>0</x:v>
      </x:c>
      <x:c r="W17" t="n">
        <x:v>1</x:v>
      </x:c>
      <x:c r="X17" t="n">
        <x:v>0</x:v>
      </x:c>
      <x:c r="Y17" t="n">
        <x:v>0</x:v>
      </x:c>
      <x:c r="Z17" t="n">
        <x:v>0</x:v>
      </x:c>
    </x:row>
    <x:row r="18">
      <x:c r="A18" t="str">
        <x:v>vora2025_s_3_pipeline</x:v>
      </x:c>
      <x:c r="B18" t="str">
        <x:v>2025</x:v>
      </x:c>
      <x:c r="C18" t="str">
        <x:v>S-3 Pipeline for Biomedical Text Simplification</x:v>
      </x:c>
      <x:c r="D18" t="str">
        <x:v>01_Core_Clinical_TS</x:v>
      </x:c>
      <x:c r="E18" t="n">
        <x:v>0</x:v>
      </x:c>
      <x:c r="F18" t="n">
        <x:v>0</x:v>
      </x:c>
      <x:c r="G18" t="n">
        <x:v>0</x:v>
      </x:c>
      <x:c r="H18" t="n">
        <x:v>0</x:v>
      </x:c>
      <x:c r="I18" t="n">
        <x:v>0</x:v>
      </x:c>
      <x:c r="J18" t="n">
        <x:v>0</x:v>
      </x:c>
      <x:c r="K18" t="n">
        <x:v>0</x:v>
      </x:c>
      <x:c r="L18" t="n">
        <x:v>0</x:v>
      </x:c>
      <x:c r="M18" t="n">
        <x:v>0</x:v>
      </x:c>
      <x:c r="N18" t="n">
        <x:v>0</x:v>
      </x:c>
      <x:c r="O18" t="n">
        <x:v>0</x:v>
      </x:c>
      <x:c r="P18" t="n">
        <x:v>0</x:v>
      </x:c>
      <x:c r="Q18" t="n">
        <x:v>0</x:v>
      </x:c>
      <x:c r="R18" t="n">
        <x:v>0</x:v>
      </x:c>
      <x:c r="S18" t="n">
        <x:v>0</x:v>
      </x:c>
      <x:c r="T18" t="n">
        <x:v>0</x:v>
      </x:c>
      <x:c r="U18" t="n">
        <x:v>0</x:v>
      </x:c>
      <x:c r="V18" t="n">
        <x:v>0</x:v>
      </x:c>
      <x:c r="W18" t="n">
        <x:v>0</x:v>
      </x:c>
      <x:c r="X18" t="n">
        <x:v>0</x:v>
      </x:c>
      <x:c r="Y18" t="n">
        <x:v>0</x:v>
      </x:c>
      <x:c r="Z18" t="n">
        <x:v>0</x:v>
      </x:c>
    </x:row>
    <x:row r="19">
      <x:c r="A19" t="str">
        <x:v>bakker2025_overview_clef_2025</x:v>
      </x:c>
      <x:c r="B19" t="str">
        <x:v>2025</x:v>
      </x:c>
      <x:c r="C19" t="str">
        <x:v>Overview of the CLEF 2025 SimpleText Task 1: Scientific and Biomedical Text Simplification</x:v>
      </x:c>
      <x:c r="D19" t="str">
        <x:v>01_Core_Clinical_TS</x:v>
      </x:c>
      <x:c r="E19" t="n">
        <x:v>0</x:v>
      </x:c>
      <x:c r="F19" t="n">
        <x:v>0</x:v>
      </x:c>
      <x:c r="G19" t="n">
        <x:v>0</x:v>
      </x:c>
      <x:c r="H19" t="n">
        <x:v>0</x:v>
      </x:c>
      <x:c r="I19" t="n">
        <x:v>0</x:v>
      </x:c>
      <x:c r="J19" t="n">
        <x:v>0</x:v>
      </x:c>
      <x:c r="K19" t="n">
        <x:v>0</x:v>
      </x:c>
      <x:c r="L19" t="n">
        <x:v>0</x:v>
      </x:c>
      <x:c r="M19" t="n">
        <x:v>0</x:v>
      </x:c>
      <x:c r="N19" t="n">
        <x:v>0</x:v>
      </x:c>
      <x:c r="O19" t="n">
        <x:v>0</x:v>
      </x:c>
      <x:c r="P19" t="n">
        <x:v>0</x:v>
      </x:c>
      <x:c r="Q19" t="n">
        <x:v>0</x:v>
      </x:c>
      <x:c r="R19" t="n">
        <x:v>0</x:v>
      </x:c>
      <x:c r="S19" t="n">
        <x:v>0</x:v>
      </x:c>
      <x:c r="T19" t="n">
        <x:v>0</x:v>
      </x:c>
      <x:c r="U19" t="n">
        <x:v>0</x:v>
      </x:c>
      <x:c r="V19" t="n">
        <x:v>0</x:v>
      </x:c>
      <x:c r="W19" t="n">
        <x:v>0</x:v>
      </x:c>
      <x:c r="X19" t="n">
        <x:v>0</x:v>
      </x:c>
      <x:c r="Y19" t="n">
        <x:v>0</x:v>
      </x:c>
      <x:c r="Z19" t="n">
        <x:v>0</x:v>
      </x:c>
    </x:row>
    <x:row r="20">
      <x:c r="A20" t="str">
        <x:v>grabar2018_clear_medical_french</x:v>
      </x:c>
      <x:c r="B20" t="str">
        <x:v>2018</x:v>
      </x:c>
      <x:c r="C20" t="str">
        <x:v>CLEAR: A Corpus for Medical French Text Simplification</x:v>
      </x:c>
      <x:c r="D20" t="str">
        <x:v>01_Core_Clinical_TS</x:v>
      </x:c>
      <x:c r="E20" t="n">
        <x:v>0</x:v>
      </x:c>
      <x:c r="F20" t="n">
        <x:v>0</x:v>
      </x:c>
      <x:c r="G20" t="n">
        <x:v>0</x:v>
      </x:c>
      <x:c r="H20" t="n">
        <x:v>0</x:v>
      </x:c>
      <x:c r="I20" t="n">
        <x:v>0</x:v>
      </x:c>
      <x:c r="J20" t="n">
        <x:v>0</x:v>
      </x:c>
      <x:c r="K20" t="n">
        <x:v>0</x:v>
      </x:c>
      <x:c r="L20" t="n">
        <x:v>0</x:v>
      </x:c>
      <x:c r="M20" t="n">
        <x:v>0</x:v>
      </x:c>
      <x:c r="N20" t="n">
        <x:v>0</x:v>
      </x:c>
      <x:c r="O20" t="n">
        <x:v>0</x:v>
      </x:c>
      <x:c r="P20" t="n">
        <x:v>0</x:v>
      </x:c>
      <x:c r="Q20" t="n">
        <x:v>0</x:v>
      </x:c>
      <x:c r="R20" t="n">
        <x:v>0</x:v>
      </x:c>
      <x:c r="S20" t="n">
        <x:v>0</x:v>
      </x:c>
      <x:c r="T20" t="n">
        <x:v>0</x:v>
      </x:c>
      <x:c r="U20" t="n">
        <x:v>0</x:v>
      </x:c>
      <x:c r="V20" t="n">
        <x:v>1</x:v>
      </x:c>
      <x:c r="W20" t="n">
        <x:v>1</x:v>
      </x:c>
      <x:c r="X20" t="n">
        <x:v>0</x:v>
      </x:c>
      <x:c r="Y20" t="n">
        <x:v>0</x:v>
      </x:c>
      <x:c r="Z20" t="n">
        <x:v>0</x:v>
      </x:c>
    </x:row>
    <x:row r="21">
      <x:c r="A21" t="str">
        <x:v>cardon2020_french_biomedical_text</x:v>
      </x:c>
      <x:c r="B21" t="str">
        <x:v>2020</x:v>
      </x:c>
      <x:c r="C21" t="str">
        <x:v>French Biomedical Text Simplification: When Small and Precise Helps</x:v>
      </x:c>
      <x:c r="D21" t="str">
        <x:v>01_Core_Clinical_TS</x:v>
      </x:c>
      <x:c r="E21" t="n">
        <x:v>0</x:v>
      </x:c>
      <x:c r="F21" t="n">
        <x:v>1</x:v>
      </x:c>
      <x:c r="G21" t="n">
        <x:v>0</x:v>
      </x:c>
      <x:c r="H21" t="n">
        <x:v>0</x:v>
      </x:c>
      <x:c r="I21" t="n">
        <x:v>0</x:v>
      </x:c>
      <x:c r="J21" t="n">
        <x:v>0</x:v>
      </x:c>
      <x:c r="K21" t="n">
        <x:v>0</x:v>
      </x:c>
      <x:c r="L21" t="n">
        <x:v>0</x:v>
      </x:c>
      <x:c r="M21" t="n">
        <x:v>0</x:v>
      </x:c>
      <x:c r="N21" t="n">
        <x:v>0</x:v>
      </x:c>
      <x:c r="O21" t="n">
        <x:v>0</x:v>
      </x:c>
      <x:c r="P21" t="n">
        <x:v>0</x:v>
      </x:c>
      <x:c r="Q21" t="n">
        <x:v>0</x:v>
      </x:c>
      <x:c r="R21" t="n">
        <x:v>0</x:v>
      </x:c>
      <x:c r="S21" t="n">
        <x:v>0</x:v>
      </x:c>
      <x:c r="T21" t="n">
        <x:v>0</x:v>
      </x:c>
      <x:c r="U21" t="n">
        <x:v>0</x:v>
      </x:c>
      <x:c r="V21" t="n">
        <x:v>0</x:v>
      </x:c>
      <x:c r="W21" t="n">
        <x:v>1</x:v>
      </x:c>
      <x:c r="X21" t="n">
        <x:v>0</x:v>
      </x:c>
      <x:c r="Y21" t="n">
        <x:v>0</x:v>
      </x:c>
      <x:c r="Z21" t="n">
        <x:v>0</x:v>
      </x:c>
    </x:row>
    <x:row r="22">
      <x:c r="A22" t="str">
        <x:v>aziz2025_banglahealth_bengali_paraphrase</x:v>
      </x:c>
      <x:c r="B22" t="str">
        <x:v>2025</x:v>
      </x:c>
      <x:c r="C22" t="str">
        <x:v>BanglaHealth: A Bengali Paraphrase Dataset on Health Domain</x:v>
      </x:c>
      <x:c r="D22" t="str">
        <x:v>03_Adjacent_Bangla_NLP</x:v>
      </x:c>
      <x:c r="E22" t="n">
        <x:v>0</x:v>
      </x:c>
      <x:c r="F22" t="n">
        <x:v>0</x:v>
      </x:c>
      <x:c r="G22" t="n">
        <x:v>1</x:v>
      </x:c>
      <x:c r="H22" t="n">
        <x:v>0</x:v>
      </x:c>
      <x:c r="I22" t="n">
        <x:v>0</x:v>
      </x:c>
      <x:c r="J22" t="n">
        <x:v>0</x:v>
      </x:c>
      <x:c r="K22" t="n">
        <x:v>0</x:v>
      </x:c>
      <x:c r="L22" t="n">
        <x:v>0</x:v>
      </x:c>
      <x:c r="M22" t="n">
        <x:v>0</x:v>
      </x:c>
      <x:c r="N22" t="n">
        <x:v>0</x:v>
      </x:c>
      <x:c r="O22" t="n">
        <x:v>0</x:v>
      </x:c>
      <x:c r="P22" t="n">
        <x:v>0</x:v>
      </x:c>
      <x:c r="Q22" t="n">
        <x:v>0</x:v>
      </x:c>
      <x:c r="R22" t="n">
        <x:v>0</x:v>
      </x:c>
      <x:c r="S22" t="n">
        <x:v>1</x:v>
      </x:c>
      <x:c r="T22" t="n">
        <x:v>0</x:v>
      </x:c>
      <x:c r="U22" t="n">
        <x:v>0</x:v>
      </x:c>
      <x:c r="V22" t="n">
        <x:v>1</x:v>
      </x:c>
      <x:c r="W22" t="n">
        <x:v>0</x:v>
      </x:c>
      <x:c r="X22" t="n">
        <x:v>0</x:v>
      </x:c>
      <x:c r="Y22" t="n">
        <x:v>0</x:v>
      </x:c>
      <x:c r="Z22" t="n">
        <x:v>0</x:v>
      </x:c>
    </x:row>
    <x:row r="23">
      <x:c r="A23" t="str">
        <x:v>khan2023_banglachq_summ_abstractive</x:v>
      </x:c>
      <x:c r="B23" t="str">
        <x:v>2023</x:v>
      </x:c>
      <x:c r="C23" t="str">
        <x:v>BanglaCHQ-Summ: An Abstractive Summarization Dataset for Medical Queries in Bangla Conversational Speech</x:v>
      </x:c>
      <x:c r="D23" t="str">
        <x:v>03_Adjacent_Bangla_NLP</x:v>
      </x:c>
      <x:c r="E23" t="n">
        <x:v>0</x:v>
      </x:c>
      <x:c r="F23" t="n">
        <x:v>0</x:v>
      </x:c>
      <x:c r="G23" t="n">
        <x:v>1</x:v>
      </x:c>
      <x:c r="H23" t="n">
        <x:v>0</x:v>
      </x:c>
      <x:c r="I23" t="n">
        <x:v>0</x:v>
      </x:c>
      <x:c r="J23" t="n">
        <x:v>0</x:v>
      </x:c>
      <x:c r="K23" t="n">
        <x:v>0</x:v>
      </x:c>
      <x:c r="L23" t="n">
        <x:v>0</x:v>
      </x:c>
      <x:c r="M23" t="n">
        <x:v>0</x:v>
      </x:c>
      <x:c r="N23" t="n">
        <x:v>0</x:v>
      </x:c>
      <x:c r="O23" t="n">
        <x:v>0</x:v>
      </x:c>
      <x:c r="P23" t="n">
        <x:v>0</x:v>
      </x:c>
      <x:c r="Q23" t="n">
        <x:v>0</x:v>
      </x:c>
      <x:c r="R23" t="n">
        <x:v>0</x:v>
      </x:c>
      <x:c r="S23" t="n">
        <x:v>0</x:v>
      </x:c>
      <x:c r="T23" t="n">
        <x:v>0</x:v>
      </x:c>
      <x:c r="U23" t="n">
        <x:v>0</x:v>
      </x:c>
      <x:c r="V23" t="n">
        <x:v>1</x:v>
      </x:c>
      <x:c r="W23" t="n">
        <x:v>0</x:v>
      </x:c>
      <x:c r="X23" t="n">
        <x:v>0</x:v>
      </x:c>
      <x:c r="Y23" t="n">
        <x:v>0</x:v>
      </x:c>
      <x:c r="Z23" t="n">
        <x:v>0</x:v>
      </x:c>
    </x:row>
    <x:row r="24">
      <x:c r="A24" t="str">
        <x:v>khan2023_nervous_about_my</x:v>
      </x:c>
      <x:c r="B24" t="str">
        <x:v>2023</x:v>
      </x:c>
      <x:c r="C24" t="str">
        <x:v>NERvous About My Health: Constructing a Bengali Medical Named Entity Recognition Dataset</x:v>
      </x:c>
      <x:c r="D24" t="str">
        <x:v>03_Adjacent_Bangla_NLP</x:v>
      </x:c>
      <x:c r="E24" t="n">
        <x:v>0</x:v>
      </x:c>
      <x:c r="F24" t="n">
        <x:v>0</x:v>
      </x:c>
      <x:c r="G24" t="n">
        <x:v>1</x:v>
      </x:c>
      <x:c r="H24" t="n">
        <x:v>0</x:v>
      </x:c>
      <x:c r="I24" t="n">
        <x:v>0</x:v>
      </x:c>
      <x:c r="J24" t="n">
        <x:v>0</x:v>
      </x:c>
      <x:c r="K24" t="n">
        <x:v>1</x:v>
      </x:c>
      <x:c r="L24" t="n">
        <x:v>0</x:v>
      </x:c>
      <x:c r="M24" t="n">
        <x:v>0</x:v>
      </x:c>
      <x:c r="N24" t="n">
        <x:v>0</x:v>
      </x:c>
      <x:c r="O24" t="n">
        <x:v>0</x:v>
      </x:c>
      <x:c r="P24" t="n">
        <x:v>0</x:v>
      </x:c>
      <x:c r="Q24" t="n">
        <x:v>0</x:v>
      </x:c>
      <x:c r="R24" t="n">
        <x:v>1</x:v>
      </x:c>
      <x:c r="S24" t="n">
        <x:v>0</x:v>
      </x:c>
      <x:c r="T24" t="n">
        <x:v>0</x:v>
      </x:c>
      <x:c r="U24" t="n">
        <x:v>0</x:v>
      </x:c>
      <x:c r="V24" t="n">
        <x:v>1</x:v>
      </x:c>
      <x:c r="W24" t="n">
        <x:v>0</x:v>
      </x:c>
      <x:c r="X24" t="n">
        <x:v>0</x:v>
      </x:c>
      <x:c r="Y24" t="n">
        <x:v>0</x:v>
      </x:c>
      <x:c r="Z24" t="n">
        <x:v>0</x:v>
      </x:c>
    </x:row>
    <x:row r="25">
      <x:c r="A25" t="str">
        <x:v>islam2026_bangla_meder_multi</x:v>
      </x:c>
      <x:c r="B25" t="str">
        <x:v>2026</x:v>
      </x:c>
      <x:c r="C25" t="str">
        <x:v>Bangla-MedER: Multi-BERT Ensemble Approach for the Recognition of Bangla Medical Entities</x:v>
      </x:c>
      <x:c r="D25" t="str">
        <x:v>03_Adjacent_Bangla_NLP</x:v>
      </x:c>
      <x:c r="E25" t="n">
        <x:v>0</x:v>
      </x:c>
      <x:c r="F25" t="n">
        <x:v>0</x:v>
      </x:c>
      <x:c r="G25" t="n">
        <x:v>1</x:v>
      </x:c>
      <x:c r="H25" t="n">
        <x:v>0</x:v>
      </x:c>
      <x:c r="I25" t="n">
        <x:v>0</x:v>
      </x:c>
      <x:c r="J25" t="n">
        <x:v>0</x:v>
      </x:c>
      <x:c r="K25" t="n">
        <x:v>1</x:v>
      </x:c>
      <x:c r="L25" t="n">
        <x:v>0</x:v>
      </x:c>
      <x:c r="M25" t="n">
        <x:v>0</x:v>
      </x:c>
      <x:c r="N25" t="n">
        <x:v>0</x:v>
      </x:c>
      <x:c r="O25" t="n">
        <x:v>0</x:v>
      </x:c>
      <x:c r="P25" t="n">
        <x:v>0</x:v>
      </x:c>
      <x:c r="Q25" t="n">
        <x:v>0</x:v>
      </x:c>
      <x:c r="R25" t="n">
        <x:v>0</x:v>
      </x:c>
      <x:c r="S25" t="n">
        <x:v>0</x:v>
      </x:c>
      <x:c r="T25" t="n">
        <x:v>0</x:v>
      </x:c>
      <x:c r="U25" t="n">
        <x:v>0</x:v>
      </x:c>
      <x:c r="V25" t="n">
        <x:v>1</x:v>
      </x:c>
      <x:c r="W25" t="n">
        <x:v>0</x:v>
      </x:c>
      <x:c r="X25" t="n">
        <x:v>0</x:v>
      </x:c>
      <x:c r="Y25" t="n">
        <x:v>0</x:v>
      </x:c>
      <x:c r="Z25" t="n">
        <x:v>0</x:v>
      </x:c>
    </x:row>
    <x:row r="26">
      <x:c r="A26" t="str">
        <x:v>bhattacharjee2022_banglabert_language_pretraining</x:v>
      </x:c>
      <x:c r="B26" t="str">
        <x:v>2022</x:v>
      </x:c>
      <x:c r="C26" t="str">
        <x:v>BanglaBERT: Language Model Pretraining and Benchmarks for Low-Resource Language Understanding Evaluation in Bangla</x:v>
      </x:c>
      <x:c r="D26" t="str">
        <x:v>03_Adjacent_Bangla_NLP</x:v>
      </x:c>
      <x:c r="E26" t="n">
        <x:v>0</x:v>
      </x:c>
      <x:c r="F26" t="n">
        <x:v>0</x:v>
      </x:c>
      <x:c r="G26" t="n">
        <x:v>1</x:v>
      </x:c>
      <x:c r="H26" t="n">
        <x:v>0</x:v>
      </x:c>
      <x:c r="I26" t="n">
        <x:v>0</x:v>
      </x:c>
      <x:c r="J26" t="n">
        <x:v>1</x:v>
      </x:c>
      <x:c r="K26" t="n">
        <x:v>0</x:v>
      </x:c>
      <x:c r="L26" t="n">
        <x:v>0</x:v>
      </x:c>
      <x:c r="M26" t="n">
        <x:v>0</x:v>
      </x:c>
      <x:c r="N26" t="n">
        <x:v>0</x:v>
      </x:c>
      <x:c r="O26" t="n">
        <x:v>0</x:v>
      </x:c>
      <x:c r="P26" t="n">
        <x:v>0</x:v>
      </x:c>
      <x:c r="Q26" t="n">
        <x:v>0</x:v>
      </x:c>
      <x:c r="R26" t="n">
        <x:v>0</x:v>
      </x:c>
      <x:c r="S26" t="n">
        <x:v>0</x:v>
      </x:c>
      <x:c r="T26" t="n">
        <x:v>0</x:v>
      </x:c>
      <x:c r="U26" t="n">
        <x:v>0</x:v>
      </x:c>
      <x:c r="V26" t="n">
        <x:v>0</x:v>
      </x:c>
      <x:c r="W26" t="n">
        <x:v>0</x:v>
      </x:c>
      <x:c r="X26" t="n">
        <x:v>0</x:v>
      </x:c>
      <x:c r="Y26" t="n">
        <x:v>0</x:v>
      </x:c>
      <x:c r="Z26" t="n">
        <x:v>0</x:v>
      </x:c>
    </x:row>
    <x:row r="27">
      <x:c r="A27" t="str">
        <x:v>das2024_banglat5_banglabert0_pretrained</x:v>
      </x:c>
      <x:c r="B27" t="str">
        <x:v>2024</x:v>
      </x:c>
      <x:c r="C27" t="str">
        <x:v>BanglaT5 and BanglaBERT0: Large Pretrained Language Models for Bangla</x:v>
      </x:c>
      <x:c r="D27" t="str">
        <x:v>03_Adjacent_Bangla_NLP</x:v>
      </x:c>
      <x:c r="E27" t="n">
        <x:v>0</x:v>
      </x:c>
      <x:c r="F27" t="n">
        <x:v>0</x:v>
      </x:c>
      <x:c r="G27" t="n">
        <x:v>1</x:v>
      </x:c>
      <x:c r="H27" t="n">
        <x:v>0</x:v>
      </x:c>
      <x:c r="I27" t="n">
        <x:v>0</x:v>
      </x:c>
      <x:c r="J27" t="n">
        <x:v>1</x:v>
      </x:c>
      <x:c r="K27" t="n">
        <x:v>0</x:v>
      </x:c>
      <x:c r="L27" t="n">
        <x:v>0</x:v>
      </x:c>
      <x:c r="M27" t="n">
        <x:v>0</x:v>
      </x:c>
      <x:c r="N27" t="n">
        <x:v>0</x:v>
      </x:c>
      <x:c r="O27" t="n">
        <x:v>0</x:v>
      </x:c>
      <x:c r="P27" t="n">
        <x:v>0</x:v>
      </x:c>
      <x:c r="Q27" t="n">
        <x:v>0</x:v>
      </x:c>
      <x:c r="R27" t="n">
        <x:v>0</x:v>
      </x:c>
      <x:c r="S27" t="n">
        <x:v>0</x:v>
      </x:c>
      <x:c r="T27" t="n">
        <x:v>0</x:v>
      </x:c>
      <x:c r="U27" t="n">
        <x:v>0</x:v>
      </x:c>
      <x:c r="V27" t="n">
        <x:v>0</x:v>
      </x:c>
      <x:c r="W27" t="n">
        <x:v>0</x:v>
      </x:c>
      <x:c r="X27" t="n">
        <x:v>0</x:v>
      </x:c>
      <x:c r="Y27" t="n">
        <x:v>0</x:v>
      </x:c>
      <x:c r="Z27" t="n">
        <x:v>0</x:v>
      </x:c>
    </x:row>
    <x:row r="28">
      <x:c r="A28" t="str">
        <x:v>mahtab2025_benchmark_context_driven</x:v>
      </x:c>
      <x:c r="B28" t="str">
        <x:v>2025</x:v>
      </x:c>
      <x:c r="C28" t="str">
        <x:v>A Benchmark Dataset and Context-Driven Approach for Bangla Named Entity Recognition</x:v>
      </x:c>
      <x:c r="D28" t="str">
        <x:v>03_Adjacent_Bangla_NLP</x:v>
      </x:c>
      <x:c r="E28" t="n">
        <x:v>0</x:v>
      </x:c>
      <x:c r="F28" t="n">
        <x:v>0</x:v>
      </x:c>
      <x:c r="G28" t="n">
        <x:v>1</x:v>
      </x:c>
      <x:c r="H28" t="n">
        <x:v>0</x:v>
      </x:c>
      <x:c r="I28" t="n">
        <x:v>0</x:v>
      </x:c>
      <x:c r="J28" t="n">
        <x:v>0</x:v>
      </x:c>
      <x:c r="K28" t="n">
        <x:v>1</x:v>
      </x:c>
      <x:c r="L28" t="n">
        <x:v>0</x:v>
      </x:c>
      <x:c r="M28" t="n">
        <x:v>0</x:v>
      </x:c>
      <x:c r="N28" t="n">
        <x:v>0</x:v>
      </x:c>
      <x:c r="O28" t="n">
        <x:v>0</x:v>
      </x:c>
      <x:c r="P28" t="n">
        <x:v>0</x:v>
      </x:c>
      <x:c r="Q28" t="n">
        <x:v>0</x:v>
      </x:c>
      <x:c r="R28" t="n">
        <x:v>0</x:v>
      </x:c>
      <x:c r="S28" t="n">
        <x:v>0</x:v>
      </x:c>
      <x:c r="T28" t="n">
        <x:v>0</x:v>
      </x:c>
      <x:c r="U28" t="n">
        <x:v>0</x:v>
      </x:c>
      <x:c r="V28" t="n">
        <x:v>1</x:v>
      </x:c>
      <x:c r="W28" t="n">
        <x:v>0</x:v>
      </x:c>
      <x:c r="X28" t="n">
        <x:v>0</x:v>
      </x:c>
      <x:c r="Y28" t="n">
        <x:v>0</x:v>
      </x:c>
      <x:c r="Z28" t="n">
        <x:v>0</x:v>
      </x:c>
    </x:row>
    <x:row r="29">
      <x:c r="A29" t="str">
        <x:v>ekbal2008_bengali_named_entity</x:v>
      </x:c>
      <x:c r="B29" t="str">
        <x:v>2008</x:v>
      </x:c>
      <x:c r="C29" t="str">
        <x:v>Bengali Named Entity Recognition Using Support Vector Machine</x:v>
      </x:c>
      <x:c r="D29" t="str">
        <x:v>03_Adjacent_Bangla_NLP</x:v>
      </x:c>
      <x:c r="E29" t="n">
        <x:v>0</x:v>
      </x:c>
      <x:c r="F29" t="n">
        <x:v>0</x:v>
      </x:c>
      <x:c r="G29" t="n">
        <x:v>1</x:v>
      </x:c>
      <x:c r="H29" t="n">
        <x:v>0</x:v>
      </x:c>
      <x:c r="I29" t="n">
        <x:v>0</x:v>
      </x:c>
      <x:c r="J29" t="n">
        <x:v>0</x:v>
      </x:c>
      <x:c r="K29" t="n">
        <x:v>1</x:v>
      </x:c>
      <x:c r="L29" t="n">
        <x:v>0</x:v>
      </x:c>
      <x:c r="M29" t="n">
        <x:v>0</x:v>
      </x:c>
      <x:c r="N29" t="n">
        <x:v>0</x:v>
      </x:c>
      <x:c r="O29" t="n">
        <x:v>0</x:v>
      </x:c>
      <x:c r="P29" t="n">
        <x:v>0</x:v>
      </x:c>
      <x:c r="Q29" t="n">
        <x:v>0</x:v>
      </x:c>
      <x:c r="R29" t="n">
        <x:v>0</x:v>
      </x:c>
      <x:c r="S29" t="n">
        <x:v>0</x:v>
      </x:c>
      <x:c r="T29" t="n">
        <x:v>0</x:v>
      </x:c>
      <x:c r="U29" t="n">
        <x:v>0</x:v>
      </x:c>
      <x:c r="V29" t="n">
        <x:v>0</x:v>
      </x:c>
      <x:c r="W29" t="n">
        <x:v>0</x:v>
      </x:c>
      <x:c r="X29" t="n">
        <x:v>0</x:v>
      </x:c>
      <x:c r="Y29" t="n">
        <x:v>0</x:v>
      </x:c>
      <x:c r="Z29" t="n">
        <x:v>0</x:v>
      </x:c>
    </x:row>
    <x:row r="30">
      <x:c r="A30" t="str">
        <x:v>hossain2017_bengali_question_answering</x:v>
      </x:c>
      <x:c r="B30" t="str">
        <x:v>2017</x:v>
      </x:c>
      <x:c r="C30" t="str">
        <x:v>A Dataset for Bengali Question Answering in the Health Domain</x:v>
      </x:c>
      <x:c r="D30" t="str">
        <x:v>03_Adjacent_Bangla_NLP</x:v>
      </x:c>
      <x:c r="E30" t="n">
        <x:v>0</x:v>
      </x:c>
      <x:c r="F30" t="n">
        <x:v>0</x:v>
      </x:c>
      <x:c r="G30" t="n">
        <x:v>1</x:v>
      </x:c>
      <x:c r="H30" t="n">
        <x:v>0</x:v>
      </x:c>
      <x:c r="I30" t="n">
        <x:v>0</x:v>
      </x:c>
      <x:c r="J30" t="n">
        <x:v>0</x:v>
      </x:c>
      <x:c r="K30" t="n">
        <x:v>0</x:v>
      </x:c>
      <x:c r="L30" t="n">
        <x:v>0</x:v>
      </x:c>
      <x:c r="M30" t="n">
        <x:v>0</x:v>
      </x:c>
      <x:c r="N30" t="n">
        <x:v>0</x:v>
      </x:c>
      <x:c r="O30" t="n">
        <x:v>0</x:v>
      </x:c>
      <x:c r="P30" t="n">
        <x:v>0</x:v>
      </x:c>
      <x:c r="Q30" t="n">
        <x:v>0</x:v>
      </x:c>
      <x:c r="R30" t="n">
        <x:v>0</x:v>
      </x:c>
      <x:c r="S30" t="n">
        <x:v>0</x:v>
      </x:c>
      <x:c r="T30" t="n">
        <x:v>0</x:v>
      </x:c>
      <x:c r="U30" t="n">
        <x:v>0</x:v>
      </x:c>
      <x:c r="V30" t="n">
        <x:v>1</x:v>
      </x:c>
      <x:c r="W30" t="n">
        <x:v>0</x:v>
      </x:c>
      <x:c r="X30" t="n">
        <x:v>0</x:v>
      </x:c>
      <x:c r="Y30" t="n">
        <x:v>0</x:v>
      </x:c>
      <x:c r="Z30" t="n">
        <x:v>0</x:v>
      </x:c>
    </x:row>
    <x:row r="31">
      <x:c r="A31" t="str">
        <x:v>laskar2023_benllmeval_comprehensive_evaluation</x:v>
      </x:c>
      <x:c r="B31" t="str">
        <x:v>2023</x:v>
      </x:c>
      <x:c r="C31" t="str">
        <x:v>BenLLMEval: A Comprehensive Evaluation into the Potentials and Pitfalls of Large Language Models on Bengali NLP</x:v>
      </x:c>
      <x:c r="D31" t="str">
        <x:v>03_Adjacent_Bangla_NLP</x:v>
      </x:c>
      <x:c r="E31" t="n">
        <x:v>0</x:v>
      </x:c>
      <x:c r="F31" t="n">
        <x:v>0</x:v>
      </x:c>
      <x:c r="G31" t="n">
        <x:v>1</x:v>
      </x:c>
      <x:c r="H31" t="n">
        <x:v>0</x:v>
      </x:c>
      <x:c r="I31" t="n">
        <x:v>0</x:v>
      </x:c>
      <x:c r="J31" t="n">
        <x:v>0</x:v>
      </x:c>
      <x:c r="K31" t="n">
        <x:v>0</x:v>
      </x:c>
      <x:c r="L31" t="n">
        <x:v>0</x:v>
      </x:c>
      <x:c r="M31" t="n">
        <x:v>0</x:v>
      </x:c>
      <x:c r="N31" t="n">
        <x:v>0</x:v>
      </x:c>
      <x:c r="O31" t="n">
        <x:v>0</x:v>
      </x:c>
      <x:c r="P31" t="n">
        <x:v>0</x:v>
      </x:c>
      <x:c r="Q31" t="n">
        <x:v>1</x:v>
      </x:c>
      <x:c r="R31" t="n">
        <x:v>0</x:v>
      </x:c>
      <x:c r="S31" t="n">
        <x:v>0</x:v>
      </x:c>
      <x:c r="T31" t="n">
        <x:v>0</x:v>
      </x:c>
      <x:c r="U31" t="n">
        <x:v>0</x:v>
      </x:c>
      <x:c r="V31" t="n">
        <x:v>0</x:v>
      </x:c>
      <x:c r="W31" t="n">
        <x:v>0</x:v>
      </x:c>
      <x:c r="X31" t="n">
        <x:v>0</x:v>
      </x:c>
      <x:c r="Y31" t="n">
        <x:v>0</x:v>
      </x:c>
      <x:c r="Z31" t="n">
        <x:v>0</x:v>
      </x:c>
    </x:row>
    <x:row r="32">
      <x:c r="A32" t="str">
        <x:v>kakwani2020_indicnlpsuite_monolingual_corpora</x:v>
      </x:c>
      <x:c r="B32" t="str">
        <x:v>2020</x:v>
      </x:c>
      <x:c r="C32" t="str">
        <x:v>IndicNLPSuite: Monolingual Corpora, Evaluation Benchmarks and Pre-trained Multilingual Language Models for Indian Languages</x:v>
      </x:c>
      <x:c r="D32" t="str">
        <x:v>03_Adjacent_Bangla_NLP</x:v>
      </x:c>
      <x:c r="E32" t="n">
        <x:v>0</x:v>
      </x:c>
      <x:c r="F32" t="n">
        <x:v>0</x:v>
      </x:c>
      <x:c r="G32" t="n">
        <x:v>1</x:v>
      </x:c>
      <x:c r="H32" t="n">
        <x:v>1</x:v>
      </x:c>
      <x:c r="I32" t="n">
        <x:v>0</x:v>
      </x:c>
      <x:c r="J32" t="n">
        <x:v>1</x:v>
      </x:c>
      <x:c r="K32" t="n">
        <x:v>0</x:v>
      </x:c>
      <x:c r="L32" t="n">
        <x:v>0</x:v>
      </x:c>
      <x:c r="M32" t="n">
        <x:v>0</x:v>
      </x:c>
      <x:c r="N32" t="n">
        <x:v>0</x:v>
      </x:c>
      <x:c r="O32" t="n">
        <x:v>0</x:v>
      </x:c>
      <x:c r="P32" t="n">
        <x:v>0</x:v>
      </x:c>
      <x:c r="Q32" t="n">
        <x:v>0</x:v>
      </x:c>
      <x:c r="R32" t="n">
        <x:v>0</x:v>
      </x:c>
      <x:c r="S32" t="n">
        <x:v>0</x:v>
      </x:c>
      <x:c r="T32" t="n">
        <x:v>0</x:v>
      </x:c>
      <x:c r="U32" t="n">
        <x:v>0</x:v>
      </x:c>
      <x:c r="V32" t="n">
        <x:v>0</x:v>
      </x:c>
      <x:c r="W32" t="n">
        <x:v>0</x:v>
      </x:c>
      <x:c r="X32" t="n">
        <x:v>0</x:v>
      </x:c>
      <x:c r="Y32" t="n">
        <x:v>0</x:v>
      </x:c>
      <x:c r="Z32" t="n">
        <x:v>0</x:v>
      </x:c>
    </x:row>
    <x:row r="33">
      <x:c r="A33" t="str">
        <x:v>ramesh2022_samanantar_largest_publicly</x:v>
      </x:c>
      <x:c r="B33" t="str">
        <x:v>2022</x:v>
      </x:c>
      <x:c r="C33" t="str">
        <x:v>Samanantar: The Largest Publicly Available Parallel Corpora Collection for 11 Indic Languages</x:v>
      </x:c>
      <x:c r="D33" t="str">
        <x:v>03_Adjacent_Bangla_NLP</x:v>
      </x:c>
      <x:c r="E33" t="n">
        <x:v>0</x:v>
      </x:c>
      <x:c r="F33" t="n">
        <x:v>0</x:v>
      </x:c>
      <x:c r="G33" t="n">
        <x:v>1</x:v>
      </x:c>
      <x:c r="H33" t="n">
        <x:v>1</x:v>
      </x:c>
      <x:c r="I33" t="n">
        <x:v>0</x:v>
      </x:c>
      <x:c r="J33" t="n">
        <x:v>0</x:v>
      </x:c>
      <x:c r="K33" t="n">
        <x:v>0</x:v>
      </x:c>
      <x:c r="L33" t="n">
        <x:v>0</x:v>
      </x:c>
      <x:c r="M33" t="n">
        <x:v>0</x:v>
      </x:c>
      <x:c r="N33" t="n">
        <x:v>0</x:v>
      </x:c>
      <x:c r="O33" t="n">
        <x:v>0</x:v>
      </x:c>
      <x:c r="P33" t="n">
        <x:v>0</x:v>
      </x:c>
      <x:c r="Q33" t="n">
        <x:v>0</x:v>
      </x:c>
      <x:c r="R33" t="n">
        <x:v>0</x:v>
      </x:c>
      <x:c r="S33" t="n">
        <x:v>0</x:v>
      </x:c>
      <x:c r="T33" t="n">
        <x:v>0</x:v>
      </x:c>
      <x:c r="U33" t="n">
        <x:v>0</x:v>
      </x:c>
      <x:c r="V33" t="n">
        <x:v>1</x:v>
      </x:c>
      <x:c r="W33" t="n">
        <x:v>0</x:v>
      </x:c>
      <x:c r="X33" t="n">
        <x:v>0</x:v>
      </x:c>
      <x:c r="Y33" t="n">
        <x:v>0</x:v>
      </x:c>
      <x:c r="Z33" t="n">
        <x:v>0</x:v>
      </x:c>
    </x:row>
    <x:row r="34">
      <x:c r="A34" t="str">
        <x:v>doddapaneni2023_indictrans2_high_quality</x:v>
      </x:c>
      <x:c r="B34" t="str">
        <x:v>2023</x:v>
      </x:c>
      <x:c r="C34" t="str">
        <x:v>IndicTrans2: Towards High-Quality and Accessible Machine Translation Models for all 22 Scheduled Indian Languages</x:v>
      </x:c>
      <x:c r="D34" t="str">
        <x:v>03_Adjacent_Bangla_NLP</x:v>
      </x:c>
      <x:c r="E34" t="n">
        <x:v>0</x:v>
      </x:c>
      <x:c r="F34" t="n">
        <x:v>0</x:v>
      </x:c>
      <x:c r="G34" t="n">
        <x:v>1</x:v>
      </x:c>
      <x:c r="H34" t="n">
        <x:v>1</x:v>
      </x:c>
      <x:c r="I34" t="n">
        <x:v>0</x:v>
      </x:c>
      <x:c r="J34" t="n">
        <x:v>1</x:v>
      </x:c>
      <x:c r="K34" t="n">
        <x:v>0</x:v>
      </x:c>
      <x:c r="L34" t="n">
        <x:v>0</x:v>
      </x:c>
      <x:c r="M34" t="n">
        <x:v>0</x:v>
      </x:c>
      <x:c r="N34" t="n">
        <x:v>0</x:v>
      </x:c>
      <x:c r="O34" t="n">
        <x:v>0</x:v>
      </x:c>
      <x:c r="P34" t="n">
        <x:v>0</x:v>
      </x:c>
      <x:c r="Q34" t="n">
        <x:v>0</x:v>
      </x:c>
      <x:c r="R34" t="n">
        <x:v>0</x:v>
      </x:c>
      <x:c r="S34" t="n">
        <x:v>0</x:v>
      </x:c>
      <x:c r="T34" t="n">
        <x:v>0</x:v>
      </x:c>
      <x:c r="U34" t="n">
        <x:v>0</x:v>
      </x:c>
      <x:c r="V34" t="n">
        <x:v>0</x:v>
      </x:c>
      <x:c r="W34" t="n">
        <x:v>0</x:v>
      </x:c>
      <x:c r="X34" t="n">
        <x:v>0</x:v>
      </x:c>
      <x:c r="Y34" t="n">
        <x:v>0</x:v>
      </x:c>
      <x:c r="Z34" t="n">
        <x:v>0</x:v>
      </x:c>
    </x:row>
    <x:row r="35">
      <x:c r="A35" t="str">
        <x:v>costajuss2022_no_language_left</x:v>
      </x:c>
      <x:c r="B35" t="str">
        <x:v>2022</x:v>
      </x:c>
      <x:c r="C35" t="str">
        <x:v>No Language Left Behind: Scaling Human-Centered Machine Translation</x:v>
      </x:c>
      <x:c r="D35" t="str">
        <x:v>03_Adjacent_Bangla_NLP</x:v>
      </x:c>
      <x:c r="E35" t="n">
        <x:v>0</x:v>
      </x:c>
      <x:c r="F35" t="n">
        <x:v>0</x:v>
      </x:c>
      <x:c r="G35" t="n">
        <x:v>1</x:v>
      </x:c>
      <x:c r="H35" t="n">
        <x:v>0</x:v>
      </x:c>
      <x:c r="I35" t="n">
        <x:v>1</x:v>
      </x:c>
      <x:c r="J35" t="n">
        <x:v>1</x:v>
      </x:c>
      <x:c r="K35" t="n">
        <x:v>0</x:v>
      </x:c>
      <x:c r="L35" t="n">
        <x:v>0</x:v>
      </x:c>
      <x:c r="M35" t="n">
        <x:v>0</x:v>
      </x:c>
      <x:c r="N35" t="n">
        <x:v>0</x:v>
      </x:c>
      <x:c r="O35" t="n">
        <x:v>0</x:v>
      </x:c>
      <x:c r="P35" t="n">
        <x:v>0</x:v>
      </x:c>
      <x:c r="Q35" t="n">
        <x:v>0</x:v>
      </x:c>
      <x:c r="R35" t="n">
        <x:v>0</x:v>
      </x:c>
      <x:c r="S35" t="n">
        <x:v>0</x:v>
      </x:c>
      <x:c r="T35" t="n">
        <x:v>0</x:v>
      </x:c>
      <x:c r="U35" t="n">
        <x:v>0</x:v>
      </x:c>
      <x:c r="V35" t="n">
        <x:v>0</x:v>
      </x:c>
      <x:c r="W35" t="n">
        <x:v>0</x:v>
      </x:c>
      <x:c r="X35" t="n">
        <x:v>0</x:v>
      </x:c>
      <x:c r="Y35" t="n">
        <x:v>0</x:v>
      </x:c>
      <x:c r="Z35" t="n">
        <x:v>0</x:v>
      </x:c>
    </x:row>
    <x:row r="36">
      <x:c r="A36" t="str">
        <x:v>dabre2020_multilingual_neural_machine</x:v>
      </x:c>
      <x:c r="B36" t="str">
        <x:v>2020</x:v>
      </x:c>
      <x:c r="C36" t="str">
        <x:v>A Survey of Multilingual Neural Machine Translation</x:v>
      </x:c>
      <x:c r="D36" t="str">
        <x:v>03_Adjacent_Bangla_NLP</x:v>
      </x:c>
      <x:c r="E36" t="n">
        <x:v>0</x:v>
      </x:c>
      <x:c r="F36" t="n">
        <x:v>0</x:v>
      </x:c>
      <x:c r="G36" t="n">
        <x:v>0</x:v>
      </x:c>
      <x:c r="H36" t="n">
        <x:v>0</x:v>
      </x:c>
      <x:c r="I36" t="n">
        <x:v>1</x:v>
      </x:c>
      <x:c r="J36" t="n">
        <x:v>1</x:v>
      </x:c>
      <x:c r="K36" t="n">
        <x:v>0</x:v>
      </x:c>
      <x:c r="L36" t="n">
        <x:v>0</x:v>
      </x:c>
      <x:c r="M36" t="n">
        <x:v>0</x:v>
      </x:c>
      <x:c r="N36" t="n">
        <x:v>0</x:v>
      </x:c>
      <x:c r="O36" t="n">
        <x:v>0</x:v>
      </x:c>
      <x:c r="P36" t="n">
        <x:v>0</x:v>
      </x:c>
      <x:c r="Q36" t="n">
        <x:v>0</x:v>
      </x:c>
      <x:c r="R36" t="n">
        <x:v>0</x:v>
      </x:c>
      <x:c r="S36" t="n">
        <x:v>0</x:v>
      </x:c>
      <x:c r="T36" t="n">
        <x:v>0</x:v>
      </x:c>
      <x:c r="U36" t="n">
        <x:v>0</x:v>
      </x:c>
      <x:c r="V36" t="n">
        <x:v>0</x:v>
      </x:c>
      <x:c r="W36" t="n">
        <x:v>0</x:v>
      </x:c>
      <x:c r="X36" t="n">
        <x:v>0</x:v>
      </x:c>
      <x:c r="Y36" t="n">
        <x:v>0</x:v>
      </x:c>
      <x:c r="Z36" t="n">
        <x:v>0</x:v>
      </x:c>
    </x:row>
    <x:row r="37">
      <x:c r="A37" t="str">
        <x:v>hasan2020_not_low_resource</x:v>
      </x:c>
      <x:c r="B37" t="str">
        <x:v>2020</x:v>
      </x:c>
      <x:c r="C37" t="str">
        <x:v>Not Low-Resource Anymore: Aligner Ensembling, Batch Filtering, and New Datasets for Bengali-English Machine Translation</x:v>
      </x:c>
      <x:c r="D37" t="str">
        <x:v>03_Adjacent_Bangla_NLP</x:v>
      </x:c>
      <x:c r="E37" t="n">
        <x:v>0</x:v>
      </x:c>
      <x:c r="F37" t="n">
        <x:v>0</x:v>
      </x:c>
      <x:c r="G37" t="n">
        <x:v>1</x:v>
      </x:c>
      <x:c r="H37" t="n">
        <x:v>0</x:v>
      </x:c>
      <x:c r="I37" t="n">
        <x:v>0</x:v>
      </x:c>
      <x:c r="J37" t="n">
        <x:v>0</x:v>
      </x:c>
      <x:c r="K37" t="n">
        <x:v>0</x:v>
      </x:c>
      <x:c r="L37" t="n">
        <x:v>0</x:v>
      </x:c>
      <x:c r="M37" t="n">
        <x:v>0</x:v>
      </x:c>
      <x:c r="N37" t="n">
        <x:v>0</x:v>
      </x:c>
      <x:c r="O37" t="n">
        <x:v>0</x:v>
      </x:c>
      <x:c r="P37" t="n">
        <x:v>0</x:v>
      </x:c>
      <x:c r="Q37" t="n">
        <x:v>0</x:v>
      </x:c>
      <x:c r="R37" t="n">
        <x:v>0</x:v>
      </x:c>
      <x:c r="S37" t="n">
        <x:v>0</x:v>
      </x:c>
      <x:c r="T37" t="n">
        <x:v>0</x:v>
      </x:c>
      <x:c r="U37" t="n">
        <x:v>0</x:v>
      </x:c>
      <x:c r="V37" t="n">
        <x:v>1</x:v>
      </x:c>
      <x:c r="W37" t="n">
        <x:v>0</x:v>
      </x:c>
      <x:c r="X37" t="n">
        <x:v>0</x:v>
      </x:c>
      <x:c r="Y37" t="n">
        <x:v>0</x:v>
      </x:c>
      <x:c r="Z37" t="n">
        <x:v>0</x:v>
      </x:c>
    </x:row>
    <x:row r="38">
      <x:c r="A38" t="str">
        <x:v>akter2025_banglat5_mhealth_bengali</x:v>
      </x:c>
      <x:c r="B38" t="str">
        <x:v>2025</x:v>
      </x:c>
      <x:c r="C38" t="str">
        <x:v>BanglaT5-mHealth: A Bengali Health-Domain Paraphrasing Model</x:v>
      </x:c>
      <x:c r="D38" t="str">
        <x:v>03_Adjacent_Bangla_NLP</x:v>
      </x:c>
      <x:c r="E38" t="n">
        <x:v>0</x:v>
      </x:c>
      <x:c r="F38" t="n">
        <x:v>0</x:v>
      </x:c>
      <x:c r="G38" t="n">
        <x:v>1</x:v>
      </x:c>
      <x:c r="H38" t="n">
        <x:v>0</x:v>
      </x:c>
      <x:c r="I38" t="n">
        <x:v>0</x:v>
      </x:c>
      <x:c r="J38" t="n">
        <x:v>0</x:v>
      </x:c>
      <x:c r="K38" t="n">
        <x:v>0</x:v>
      </x:c>
      <x:c r="L38" t="n">
        <x:v>0</x:v>
      </x:c>
      <x:c r="M38" t="n">
        <x:v>0</x:v>
      </x:c>
      <x:c r="N38" t="n">
        <x:v>0</x:v>
      </x:c>
      <x:c r="O38" t="n">
        <x:v>0</x:v>
      </x:c>
      <x:c r="P38" t="n">
        <x:v>0</x:v>
      </x:c>
      <x:c r="Q38" t="n">
        <x:v>0</x:v>
      </x:c>
      <x:c r="R38" t="n">
        <x:v>0</x:v>
      </x:c>
      <x:c r="S38" t="n">
        <x:v>0</x:v>
      </x:c>
      <x:c r="T38" t="n">
        <x:v>0</x:v>
      </x:c>
      <x:c r="U38" t="n">
        <x:v>0</x:v>
      </x:c>
      <x:c r="V38" t="n">
        <x:v>0</x:v>
      </x:c>
      <x:c r="W38" t="n">
        <x:v>0</x:v>
      </x:c>
      <x:c r="X38" t="n">
        <x:v>0</x:v>
      </x:c>
      <x:c r="Y38" t="n">
        <x:v>0</x:v>
      </x:c>
      <x:c r="Z38" t="n">
        <x:v>0</x:v>
      </x:c>
    </x:row>
    <x:row r="39">
      <x:c r="A39" t="str">
        <x:v>maynez2020_faithfulness_factuality_abstractive</x:v>
      </x:c>
      <x:c r="B39" t="str">
        <x:v>2020</x:v>
      </x:c>
      <x:c r="C39" t="str">
        <x:v>On Faithfulness and Factuality in Abstractive Summarization</x:v>
      </x:c>
      <x:c r="D39" t="str">
        <x:v>04_Factuality_Methods</x:v>
      </x:c>
      <x:c r="E39" t="n">
        <x:v>1</x:v>
      </x:c>
      <x:c r="F39" t="n">
        <x:v>0</x:v>
      </x:c>
      <x:c r="G39" t="n">
        <x:v>0</x:v>
      </x:c>
      <x:c r="H39" t="n">
        <x:v>0</x:v>
      </x:c>
      <x:c r="I39" t="n">
        <x:v>0</x:v>
      </x:c>
      <x:c r="J39" t="n">
        <x:v>0</x:v>
      </x:c>
      <x:c r="K39" t="n">
        <x:v>0</x:v>
      </x:c>
      <x:c r="L39" t="n">
        <x:v>0</x:v>
      </x:c>
      <x:c r="M39" t="n">
        <x:v>0</x:v>
      </x:c>
      <x:c r="N39" t="n">
        <x:v>0</x:v>
      </x:c>
      <x:c r="O39" t="n">
        <x:v>0</x:v>
      </x:c>
      <x:c r="P39" t="n">
        <x:v>0</x:v>
      </x:c>
      <x:c r="Q39" t="n">
        <x:v>0</x:v>
      </x:c>
      <x:c r="R39" t="n">
        <x:v>0</x:v>
      </x:c>
      <x:c r="S39" t="n">
        <x:v>0</x:v>
      </x:c>
      <x:c r="T39" t="n">
        <x:v>1</x:v>
      </x:c>
      <x:c r="U39" t="n">
        <x:v>0</x:v>
      </x:c>
      <x:c r="V39" t="n">
        <x:v>0</x:v>
      </x:c>
      <x:c r="W39" t="n">
        <x:v>0</x:v>
      </x:c>
      <x:c r="X39" t="n">
        <x:v>0</x:v>
      </x:c>
      <x:c r="Y39" t="n">
        <x:v>0</x:v>
      </x:c>
      <x:c r="Z39" t="n">
        <x:v>0</x:v>
      </x:c>
    </x:row>
    <x:row r="40">
      <x:c r="A40" t="str">
        <x:v>pagnoni2021_understanding_factuality_abstractive</x:v>
      </x:c>
      <x:c r="B40" t="str">
        <x:v>2021</x:v>
      </x:c>
      <x:c r="C40" t="str">
        <x:v>Understanding Factuality in Abstractive Summarization with FRANK: A Benchmark for Factuality Metrics</x:v>
      </x:c>
      <x:c r="D40" t="str">
        <x:v>04_Factuality_Methods</x:v>
      </x:c>
      <x:c r="E40" t="n">
        <x:v>1</x:v>
      </x:c>
      <x:c r="F40" t="n">
        <x:v>0</x:v>
      </x:c>
      <x:c r="G40" t="n">
        <x:v>0</x:v>
      </x:c>
      <x:c r="H40" t="n">
        <x:v>0</x:v>
      </x:c>
      <x:c r="I40" t="n">
        <x:v>0</x:v>
      </x:c>
      <x:c r="J40" t="n">
        <x:v>0</x:v>
      </x:c>
      <x:c r="K40" t="n">
        <x:v>0</x:v>
      </x:c>
      <x:c r="L40" t="n">
        <x:v>0</x:v>
      </x:c>
      <x:c r="M40" t="n">
        <x:v>0</x:v>
      </x:c>
      <x:c r="N40" t="n">
        <x:v>0</x:v>
      </x:c>
      <x:c r="O40" t="n">
        <x:v>0</x:v>
      </x:c>
      <x:c r="P40" t="n">
        <x:v>0</x:v>
      </x:c>
      <x:c r="Q40" t="n">
        <x:v>0</x:v>
      </x:c>
      <x:c r="R40" t="n">
        <x:v>0</x:v>
      </x:c>
      <x:c r="S40" t="n">
        <x:v>0</x:v>
      </x:c>
      <x:c r="T40" t="n">
        <x:v>1</x:v>
      </x:c>
      <x:c r="U40" t="n">
        <x:v>0</x:v>
      </x:c>
      <x:c r="V40" t="n">
        <x:v>0</x:v>
      </x:c>
      <x:c r="W40" t="n">
        <x:v>0</x:v>
      </x:c>
      <x:c r="X40" t="n">
        <x:v>0</x:v>
      </x:c>
      <x:c r="Y40" t="n">
        <x:v>0</x:v>
      </x:c>
      <x:c r="Z40" t="n">
        <x:v>0</x:v>
      </x:c>
    </x:row>
    <x:row r="41">
      <x:c r="A41" t="str">
        <x:v>gabriel2021_go_figure_meta</x:v>
      </x:c>
      <x:c r="B41" t="str">
        <x:v>2021</x:v>
      </x:c>
      <x:c r="C41" t="str">
        <x:v>GO FIGURE: A Meta Evaluation of Factuality in Summarization</x:v>
      </x:c>
      <x:c r="D41" t="str">
        <x:v>04_Factuality_Methods</x:v>
      </x:c>
      <x:c r="E41" t="n">
        <x:v>1</x:v>
      </x:c>
      <x:c r="F41" t="n">
        <x:v>0</x:v>
      </x:c>
      <x:c r="G41" t="n">
        <x:v>0</x:v>
      </x:c>
      <x:c r="H41" t="n">
        <x:v>0</x:v>
      </x:c>
      <x:c r="I41" t="n">
        <x:v>0</x:v>
      </x:c>
      <x:c r="J41" t="n">
        <x:v>0</x:v>
      </x:c>
      <x:c r="K41" t="n">
        <x:v>0</x:v>
      </x:c>
      <x:c r="L41" t="n">
        <x:v>0</x:v>
      </x:c>
      <x:c r="M41" t="n">
        <x:v>0</x:v>
      </x:c>
      <x:c r="N41" t="n">
        <x:v>0</x:v>
      </x:c>
      <x:c r="O41" t="n">
        <x:v>0</x:v>
      </x:c>
      <x:c r="P41" t="n">
        <x:v>0</x:v>
      </x:c>
      <x:c r="Q41" t="n">
        <x:v>0</x:v>
      </x:c>
      <x:c r="R41" t="n">
        <x:v>0</x:v>
      </x:c>
      <x:c r="S41" t="n">
        <x:v>0</x:v>
      </x:c>
      <x:c r="T41" t="n">
        <x:v>0</x:v>
      </x:c>
      <x:c r="U41" t="n">
        <x:v>0</x:v>
      </x:c>
      <x:c r="V41" t="n">
        <x:v>0</x:v>
      </x:c>
      <x:c r="W41" t="n">
        <x:v>0</x:v>
      </x:c>
      <x:c r="X41" t="n">
        <x:v>0</x:v>
      </x:c>
      <x:c r="Y41" t="n">
        <x:v>0</x:v>
      </x:c>
      <x:c r="Z41" t="n">
        <x:v>0</x:v>
      </x:c>
    </x:row>
    <x:row r="42">
      <x:c r="A42" t="str">
        <x:v>falke2019_ranking_generated_summaries</x:v>
      </x:c>
      <x:c r="B42" t="str">
        <x:v>2019</x:v>
      </x:c>
      <x:c r="C42" t="str">
        <x:v>Ranking Generated Summaries by Correctness: An Interesting but Challenging Application for Natural Language Inference</x:v>
      </x:c>
      <x:c r="D42" t="str">
        <x:v>04_Factuality_Methods</x:v>
      </x:c>
      <x:c r="E42" t="n">
        <x:v>1</x:v>
      </x:c>
      <x:c r="F42" t="n">
        <x:v>0</x:v>
      </x:c>
      <x:c r="G42" t="n">
        <x:v>0</x:v>
      </x:c>
      <x:c r="H42" t="n">
        <x:v>0</x:v>
      </x:c>
      <x:c r="I42" t="n">
        <x:v>0</x:v>
      </x:c>
      <x:c r="J42" t="n">
        <x:v>0</x:v>
      </x:c>
      <x:c r="K42" t="n">
        <x:v>0</x:v>
      </x:c>
      <x:c r="L42" t="n">
        <x:v>1</x:v>
      </x:c>
      <x:c r="M42" t="n">
        <x:v>0</x:v>
      </x:c>
      <x:c r="N42" t="n">
        <x:v>0</x:v>
      </x:c>
      <x:c r="O42" t="n">
        <x:v>0</x:v>
      </x:c>
      <x:c r="P42" t="n">
        <x:v>0</x:v>
      </x:c>
      <x:c r="Q42" t="n">
        <x:v>0</x:v>
      </x:c>
      <x:c r="R42" t="n">
        <x:v>0</x:v>
      </x:c>
      <x:c r="S42" t="n">
        <x:v>0</x:v>
      </x:c>
      <x:c r="T42" t="n">
        <x:v>0</x:v>
      </x:c>
      <x:c r="U42" t="n">
        <x:v>0</x:v>
      </x:c>
      <x:c r="V42" t="n">
        <x:v>0</x:v>
      </x:c>
      <x:c r="W42" t="n">
        <x:v>0</x:v>
      </x:c>
      <x:c r="X42" t="n">
        <x:v>0</x:v>
      </x:c>
      <x:c r="Y42" t="n">
        <x:v>0</x:v>
      </x:c>
      <x:c r="Z42" t="n">
        <x:v>0</x:v>
      </x:c>
    </x:row>
    <x:row r="43">
      <x:c r="A43" t="str">
        <x:v>kryscinski2020_evaluating_factual_consistency</x:v>
      </x:c>
      <x:c r="B43" t="str">
        <x:v>2020</x:v>
      </x:c>
      <x:c r="C43" t="str">
        <x:v>Evaluating the Factual Consistency of Abstractive Text Summarization</x:v>
      </x:c>
      <x:c r="D43" t="str">
        <x:v>04_Factuality_Methods</x:v>
      </x:c>
      <x:c r="E43" t="n">
        <x:v>1</x:v>
      </x:c>
      <x:c r="F43" t="n">
        <x:v>0</x:v>
      </x:c>
      <x:c r="G43" t="n">
        <x:v>0</x:v>
      </x:c>
      <x:c r="H43" t="n">
        <x:v>0</x:v>
      </x:c>
      <x:c r="I43" t="n">
        <x:v>0</x:v>
      </x:c>
      <x:c r="J43" t="n">
        <x:v>0</x:v>
      </x:c>
      <x:c r="K43" t="n">
        <x:v>0</x:v>
      </x:c>
      <x:c r="L43" t="n">
        <x:v>0</x:v>
      </x:c>
      <x:c r="M43" t="n">
        <x:v>0</x:v>
      </x:c>
      <x:c r="N43" t="n">
        <x:v>0</x:v>
      </x:c>
      <x:c r="O43" t="n">
        <x:v>0</x:v>
      </x:c>
      <x:c r="P43" t="n">
        <x:v>0</x:v>
      </x:c>
      <x:c r="Q43" t="n">
        <x:v>0</x:v>
      </x:c>
      <x:c r="R43" t="n">
        <x:v>0</x:v>
      </x:c>
      <x:c r="S43" t="n">
        <x:v>0</x:v>
      </x:c>
      <x:c r="T43" t="n">
        <x:v>0</x:v>
      </x:c>
      <x:c r="U43" t="n">
        <x:v>0</x:v>
      </x:c>
      <x:c r="V43" t="n">
        <x:v>0</x:v>
      </x:c>
      <x:c r="W43" t="n">
        <x:v>0</x:v>
      </x:c>
      <x:c r="X43" t="n">
        <x:v>0</x:v>
      </x:c>
      <x:c r="Y43" t="n">
        <x:v>0</x:v>
      </x:c>
      <x:c r="Z43" t="n">
        <x:v>0</x:v>
      </x:c>
    </x:row>
    <x:row r="44">
      <x:c r="A44" t="str">
        <x:v>goyal2021_annotating_modeling_fine</x:v>
      </x:c>
      <x:c r="B44" t="str">
        <x:v>2021</x:v>
      </x:c>
      <x:c r="C44" t="str">
        <x:v>Annotating and Modeling Fine-grained Factuality in Summarization</x:v>
      </x:c>
      <x:c r="D44" t="str">
        <x:v>04_Factuality_Methods</x:v>
      </x:c>
      <x:c r="E44" t="n">
        <x:v>1</x:v>
      </x:c>
      <x:c r="F44" t="n">
        <x:v>0</x:v>
      </x:c>
      <x:c r="G44" t="n">
        <x:v>0</x:v>
      </x:c>
      <x:c r="H44" t="n">
        <x:v>0</x:v>
      </x:c>
      <x:c r="I44" t="n">
        <x:v>0</x:v>
      </x:c>
      <x:c r="J44" t="n">
        <x:v>0</x:v>
      </x:c>
      <x:c r="K44" t="n">
        <x:v>0</x:v>
      </x:c>
      <x:c r="L44" t="n">
        <x:v>0</x:v>
      </x:c>
      <x:c r="M44" t="n">
        <x:v>0</x:v>
      </x:c>
      <x:c r="N44" t="n">
        <x:v>0</x:v>
      </x:c>
      <x:c r="O44" t="n">
        <x:v>0</x:v>
      </x:c>
      <x:c r="P44" t="n">
        <x:v>0</x:v>
      </x:c>
      <x:c r="Q44" t="n">
        <x:v>0</x:v>
      </x:c>
      <x:c r="R44" t="n">
        <x:v>0</x:v>
      </x:c>
      <x:c r="S44" t="n">
        <x:v>0</x:v>
      </x:c>
      <x:c r="T44" t="n">
        <x:v>1</x:v>
      </x:c>
      <x:c r="U44" t="n">
        <x:v>0</x:v>
      </x:c>
      <x:c r="V44" t="n">
        <x:v>0</x:v>
      </x:c>
      <x:c r="W44" t="n">
        <x:v>0</x:v>
      </x:c>
      <x:c r="X44" t="n">
        <x:v>0</x:v>
      </x:c>
      <x:c r="Y44" t="n">
        <x:v>0</x:v>
      </x:c>
      <x:c r="Z44" t="n">
        <x:v>0</x:v>
      </x:c>
    </x:row>
    <x:row r="45">
      <x:c r="A45" t="str">
        <x:v>fabbri2021_summeval_re_evaluating</x:v>
      </x:c>
      <x:c r="B45" t="str">
        <x:v>2021</x:v>
      </x:c>
      <x:c r="C45" t="str">
        <x:v>SummEval: Re-evaluating Summarization Evaluation</x:v>
      </x:c>
      <x:c r="D45" t="str">
        <x:v>04_Factuality_Methods</x:v>
      </x:c>
      <x:c r="E45" t="n">
        <x:v>1</x:v>
      </x:c>
      <x:c r="F45" t="n">
        <x:v>0</x:v>
      </x:c>
      <x:c r="G45" t="n">
        <x:v>0</x:v>
      </x:c>
      <x:c r="H45" t="n">
        <x:v>0</x:v>
      </x:c>
      <x:c r="I45" t="n">
        <x:v>0</x:v>
      </x:c>
      <x:c r="J45" t="n">
        <x:v>0</x:v>
      </x:c>
      <x:c r="K45" t="n">
        <x:v>0</x:v>
      </x:c>
      <x:c r="L45" t="n">
        <x:v>0</x:v>
      </x:c>
      <x:c r="M45" t="n">
        <x:v>0</x:v>
      </x:c>
      <x:c r="N45" t="n">
        <x:v>0</x:v>
      </x:c>
      <x:c r="O45" t="n">
        <x:v>0</x:v>
      </x:c>
      <x:c r="P45" t="n">
        <x:v>0</x:v>
      </x:c>
      <x:c r="Q45" t="n">
        <x:v>0</x:v>
      </x:c>
      <x:c r="R45" t="n">
        <x:v>0</x:v>
      </x:c>
      <x:c r="S45" t="n">
        <x:v>0</x:v>
      </x:c>
      <x:c r="T45" t="n">
        <x:v>1</x:v>
      </x:c>
      <x:c r="U45" t="n">
        <x:v>0</x:v>
      </x:c>
      <x:c r="V45" t="n">
        <x:v>0</x:v>
      </x:c>
      <x:c r="W45" t="n">
        <x:v>0</x:v>
      </x:c>
      <x:c r="X45" t="n">
        <x:v>0</x:v>
      </x:c>
      <x:c r="Y45" t="n">
        <x:v>0</x:v>
      </x:c>
      <x:c r="Z45" t="n">
        <x:v>0</x:v>
      </x:c>
    </x:row>
    <x:row r="46">
      <x:c r="A46" t="str">
        <x:v>durmus2020_feqa_question_answering</x:v>
      </x:c>
      <x:c r="B46" t="str">
        <x:v>2020</x:v>
      </x:c>
      <x:c r="C46" t="str">
        <x:v>FEQA: A Question Answering Evaluation Framework for Faithfulness Assessment in Abstractive Summarization</x:v>
      </x:c>
      <x:c r="D46" t="str">
        <x:v>04_Factuality_Methods</x:v>
      </x:c>
      <x:c r="E46" t="n">
        <x:v>1</x:v>
      </x:c>
      <x:c r="F46" t="n">
        <x:v>0</x:v>
      </x:c>
      <x:c r="G46" t="n">
        <x:v>0</x:v>
      </x:c>
      <x:c r="H46" t="n">
        <x:v>0</x:v>
      </x:c>
      <x:c r="I46" t="n">
        <x:v>0</x:v>
      </x:c>
      <x:c r="J46" t="n">
        <x:v>0</x:v>
      </x:c>
      <x:c r="K46" t="n">
        <x:v>0</x:v>
      </x:c>
      <x:c r="L46" t="n">
        <x:v>0</x:v>
      </x:c>
      <x:c r="M46" t="n">
        <x:v>0</x:v>
      </x:c>
      <x:c r="N46" t="n">
        <x:v>0</x:v>
      </x:c>
      <x:c r="O46" t="n">
        <x:v>0</x:v>
      </x:c>
      <x:c r="P46" t="n">
        <x:v>0</x:v>
      </x:c>
      <x:c r="Q46" t="n">
        <x:v>0</x:v>
      </x:c>
      <x:c r="R46" t="n">
        <x:v>0</x:v>
      </x:c>
      <x:c r="S46" t="n">
        <x:v>0</x:v>
      </x:c>
      <x:c r="T46" t="n">
        <x:v>0</x:v>
      </x:c>
      <x:c r="U46" t="n">
        <x:v>0</x:v>
      </x:c>
      <x:c r="V46" t="n">
        <x:v>0</x:v>
      </x:c>
      <x:c r="W46" t="n">
        <x:v>0</x:v>
      </x:c>
      <x:c r="X46" t="n">
        <x:v>0</x:v>
      </x:c>
      <x:c r="Y46" t="n">
        <x:v>0</x:v>
      </x:c>
      <x:c r="Z46" t="n">
        <x:v>0</x:v>
      </x:c>
    </x:row>
    <x:row r="47">
      <x:c r="A47" t="str">
        <x:v>wang2020_asking_answering_questions</x:v>
      </x:c>
      <x:c r="B47" t="str">
        <x:v>2020</x:v>
      </x:c>
      <x:c r="C47" t="str">
        <x:v>Asking and Answering Questions to Evaluate the Factual Consistency of Summaries</x:v>
      </x:c>
      <x:c r="D47" t="str">
        <x:v>04_Factuality_Methods</x:v>
      </x:c>
      <x:c r="E47" t="n">
        <x:v>1</x:v>
      </x:c>
      <x:c r="F47" t="n">
        <x:v>0</x:v>
      </x:c>
      <x:c r="G47" t="n">
        <x:v>0</x:v>
      </x:c>
      <x:c r="H47" t="n">
        <x:v>0</x:v>
      </x:c>
      <x:c r="I47" t="n">
        <x:v>0</x:v>
      </x:c>
      <x:c r="J47" t="n">
        <x:v>0</x:v>
      </x:c>
      <x:c r="K47" t="n">
        <x:v>0</x:v>
      </x:c>
      <x:c r="L47" t="n">
        <x:v>0</x:v>
      </x:c>
      <x:c r="M47" t="n">
        <x:v>0</x:v>
      </x:c>
      <x:c r="N47" t="n">
        <x:v>0</x:v>
      </x:c>
      <x:c r="O47" t="n">
        <x:v>0</x:v>
      </x:c>
      <x:c r="P47" t="n">
        <x:v>0</x:v>
      </x:c>
      <x:c r="Q47" t="n">
        <x:v>0</x:v>
      </x:c>
      <x:c r="R47" t="n">
        <x:v>0</x:v>
      </x:c>
      <x:c r="S47" t="n">
        <x:v>0</x:v>
      </x:c>
      <x:c r="T47" t="n">
        <x:v>0</x:v>
      </x:c>
      <x:c r="U47" t="n">
        <x:v>0</x:v>
      </x:c>
      <x:c r="V47" t="n">
        <x:v>0</x:v>
      </x:c>
      <x:c r="W47" t="n">
        <x:v>0</x:v>
      </x:c>
      <x:c r="X47" t="n">
        <x:v>0</x:v>
      </x:c>
      <x:c r="Y47" t="n">
        <x:v>0</x:v>
      </x:c>
      <x:c r="Z47" t="n">
        <x:v>0</x:v>
      </x:c>
    </x:row>
    <x:row r="48">
      <x:c r="A48" t="str">
        <x:v>scialom2021_questeval_summarization_asks</x:v>
      </x:c>
      <x:c r="B48" t="str">
        <x:v>2021</x:v>
      </x:c>
      <x:c r="C48" t="str">
        <x:v>QuestEval: Summarization Asks for Fact-based Evaluation</x:v>
      </x:c>
      <x:c r="D48" t="str">
        <x:v>04_Factuality_Methods</x:v>
      </x:c>
      <x:c r="E48" t="n">
        <x:v>1</x:v>
      </x:c>
      <x:c r="F48" t="n">
        <x:v>0</x:v>
      </x:c>
      <x:c r="G48" t="n">
        <x:v>0</x:v>
      </x:c>
      <x:c r="H48" t="n">
        <x:v>0</x:v>
      </x:c>
      <x:c r="I48" t="n">
        <x:v>0</x:v>
      </x:c>
      <x:c r="J48" t="n">
        <x:v>0</x:v>
      </x:c>
      <x:c r="K48" t="n">
        <x:v>0</x:v>
      </x:c>
      <x:c r="L48" t="n">
        <x:v>0</x:v>
      </x:c>
      <x:c r="M48" t="n">
        <x:v>0</x:v>
      </x:c>
      <x:c r="N48" t="n">
        <x:v>0</x:v>
      </x:c>
      <x:c r="O48" t="n">
        <x:v>0</x:v>
      </x:c>
      <x:c r="P48" t="n">
        <x:v>0</x:v>
      </x:c>
      <x:c r="Q48" t="n">
        <x:v>0</x:v>
      </x:c>
      <x:c r="R48" t="n">
        <x:v>0</x:v>
      </x:c>
      <x:c r="S48" t="n">
        <x:v>0</x:v>
      </x:c>
      <x:c r="T48" t="n">
        <x:v>0</x:v>
      </x:c>
      <x:c r="U48" t="n">
        <x:v>0</x:v>
      </x:c>
      <x:c r="V48" t="n">
        <x:v>0</x:v>
      </x:c>
      <x:c r="W48" t="n">
        <x:v>0</x:v>
      </x:c>
      <x:c r="X48" t="n">
        <x:v>0</x:v>
      </x:c>
      <x:c r="Y48" t="n">
        <x:v>0</x:v>
      </x:c>
      <x:c r="Z48" t="n">
        <x:v>0</x:v>
      </x:c>
    </x:row>
    <x:row r="49">
      <x:c r="A49" t="str">
        <x:v>laban2022_summac_re_visiting</x:v>
      </x:c>
      <x:c r="B49" t="str">
        <x:v>2022</x:v>
      </x:c>
      <x:c r="C49" t="str">
        <x:v>SummaC: Re-Visiting NLI-based Models for Inconsistency Detection in Summarization</x:v>
      </x:c>
      <x:c r="D49" t="str">
        <x:v>04_Factuality_Methods</x:v>
      </x:c>
      <x:c r="E49" t="n">
        <x:v>1</x:v>
      </x:c>
      <x:c r="F49" t="n">
        <x:v>0</x:v>
      </x:c>
      <x:c r="G49" t="n">
        <x:v>0</x:v>
      </x:c>
      <x:c r="H49" t="n">
        <x:v>0</x:v>
      </x:c>
      <x:c r="I49" t="n">
        <x:v>0</x:v>
      </x:c>
      <x:c r="J49" t="n">
        <x:v>0</x:v>
      </x:c>
      <x:c r="K49" t="n">
        <x:v>0</x:v>
      </x:c>
      <x:c r="L49" t="n">
        <x:v>1</x:v>
      </x:c>
      <x:c r="M49" t="n">
        <x:v>0</x:v>
      </x:c>
      <x:c r="N49" t="n">
        <x:v>0</x:v>
      </x:c>
      <x:c r="O49" t="n">
        <x:v>0</x:v>
      </x:c>
      <x:c r="P49" t="n">
        <x:v>0</x:v>
      </x:c>
      <x:c r="Q49" t="n">
        <x:v>0</x:v>
      </x:c>
      <x:c r="R49" t="n">
        <x:v>0</x:v>
      </x:c>
      <x:c r="S49" t="n">
        <x:v>0</x:v>
      </x:c>
      <x:c r="T49" t="n">
        <x:v>0</x:v>
      </x:c>
      <x:c r="U49" t="n">
        <x:v>0</x:v>
      </x:c>
      <x:c r="V49" t="n">
        <x:v>0</x:v>
      </x:c>
      <x:c r="W49" t="n">
        <x:v>0</x:v>
      </x:c>
      <x:c r="X49" t="n">
        <x:v>0</x:v>
      </x:c>
      <x:c r="Y49" t="n">
        <x:v>0</x:v>
      </x:c>
      <x:c r="Z49" t="n">
        <x:v>0</x:v>
      </x:c>
    </x:row>
    <x:row r="50">
      <x:c r="A50" t="str">
        <x:v>min2023_factscore_fine_grained</x:v>
      </x:c>
      <x:c r="B50" t="str">
        <x:v>2023</x:v>
      </x:c>
      <x:c r="C50" t="str">
        <x:v>FActScore: Fine-grained Atomic Evaluation of Factual Precision in Long Form Text Generation</x:v>
      </x:c>
      <x:c r="D50" t="str">
        <x:v>04_Factuality_Methods</x:v>
      </x:c>
      <x:c r="E50" t="n">
        <x:v>1</x:v>
      </x:c>
      <x:c r="F50" t="n">
        <x:v>0</x:v>
      </x:c>
      <x:c r="G50" t="n">
        <x:v>0</x:v>
      </x:c>
      <x:c r="H50" t="n">
        <x:v>0</x:v>
      </x:c>
      <x:c r="I50" t="n">
        <x:v>0</x:v>
      </x:c>
      <x:c r="J50" t="n">
        <x:v>0</x:v>
      </x:c>
      <x:c r="K50" t="n">
        <x:v>0</x:v>
      </x:c>
      <x:c r="L50" t="n">
        <x:v>0</x:v>
      </x:c>
      <x:c r="M50" t="n">
        <x:v>0</x:v>
      </x:c>
      <x:c r="N50" t="n">
        <x:v>0</x:v>
      </x:c>
      <x:c r="O50" t="n">
        <x:v>0</x:v>
      </x:c>
      <x:c r="P50" t="n">
        <x:v>0</x:v>
      </x:c>
      <x:c r="Q50" t="n">
        <x:v>0</x:v>
      </x:c>
      <x:c r="R50" t="n">
        <x:v>0</x:v>
      </x:c>
      <x:c r="S50" t="n">
        <x:v>0</x:v>
      </x:c>
      <x:c r="T50" t="n">
        <x:v>0</x:v>
      </x:c>
      <x:c r="U50" t="n">
        <x:v>0</x:v>
      </x:c>
      <x:c r="V50" t="n">
        <x:v>0</x:v>
      </x:c>
      <x:c r="W50" t="n">
        <x:v>0</x:v>
      </x:c>
      <x:c r="X50" t="n">
        <x:v>0</x:v>
      </x:c>
      <x:c r="Y50" t="n">
        <x:v>0</x:v>
      </x:c>
      <x:c r="Z50" t="n">
        <x:v>0</x:v>
      </x:c>
    </x:row>
    <x:row r="51">
      <x:c r="A51" t="str">
        <x:v>zha2023_alignscore_evaluating_factual</x:v>
      </x:c>
      <x:c r="B51" t="str">
        <x:v>2023</x:v>
      </x:c>
      <x:c r="C51" t="str">
        <x:v>AlignScore: Evaluating Factual Consistency with A Unified Alignment Function</x:v>
      </x:c>
      <x:c r="D51" t="str">
        <x:v>04_Factuality_Methods</x:v>
      </x:c>
      <x:c r="E51" t="n">
        <x:v>1</x:v>
      </x:c>
      <x:c r="F51" t="n">
        <x:v>0</x:v>
      </x:c>
      <x:c r="G51" t="n">
        <x:v>0</x:v>
      </x:c>
      <x:c r="H51" t="n">
        <x:v>0</x:v>
      </x:c>
      <x:c r="I51" t="n">
        <x:v>0</x:v>
      </x:c>
      <x:c r="J51" t="n">
        <x:v>0</x:v>
      </x:c>
      <x:c r="K51" t="n">
        <x:v>0</x:v>
      </x:c>
      <x:c r="L51" t="n">
        <x:v>0</x:v>
      </x:c>
      <x:c r="M51" t="n">
        <x:v>0</x:v>
      </x:c>
      <x:c r="N51" t="n">
        <x:v>0</x:v>
      </x:c>
      <x:c r="O51" t="n">
        <x:v>0</x:v>
      </x:c>
      <x:c r="P51" t="n">
        <x:v>0</x:v>
      </x:c>
      <x:c r="Q51" t="n">
        <x:v>0</x:v>
      </x:c>
      <x:c r="R51" t="n">
        <x:v>0</x:v>
      </x:c>
      <x:c r="S51" t="n">
        <x:v>0</x:v>
      </x:c>
      <x:c r="T51" t="n">
        <x:v>0</x:v>
      </x:c>
      <x:c r="U51" t="n">
        <x:v>0</x:v>
      </x:c>
      <x:c r="V51" t="n">
        <x:v>0</x:v>
      </x:c>
      <x:c r="W51" t="n">
        <x:v>0</x:v>
      </x:c>
      <x:c r="X51" t="n">
        <x:v>0</x:v>
      </x:c>
      <x:c r="Y51" t="n">
        <x:v>0</x:v>
      </x:c>
      <x:c r="Z51" t="n">
        <x:v>0</x:v>
      </x:c>
    </x:row>
    <x:row r="52">
      <x:c r="A52" t="str">
        <x:v>koto2020_ffci_framework_interpretable</x:v>
      </x:c>
      <x:c r="B52" t="str">
        <x:v>2020</x:v>
      </x:c>
      <x:c r="C52" t="str">
        <x:v>FFCI: A Framework for Interpretable Automatic Evaluation of Summarization</x:v>
      </x:c>
      <x:c r="D52" t="str">
        <x:v>04_Factuality_Methods</x:v>
      </x:c>
      <x:c r="E52" t="n">
        <x:v>1</x:v>
      </x:c>
      <x:c r="F52" t="n">
        <x:v>0</x:v>
      </x:c>
      <x:c r="G52" t="n">
        <x:v>0</x:v>
      </x:c>
      <x:c r="H52" t="n">
        <x:v>0</x:v>
      </x:c>
      <x:c r="I52" t="n">
        <x:v>0</x:v>
      </x:c>
      <x:c r="J52" t="n">
        <x:v>0</x:v>
      </x:c>
      <x:c r="K52" t="n">
        <x:v>0</x:v>
      </x:c>
      <x:c r="L52" t="n">
        <x:v>0</x:v>
      </x:c>
      <x:c r="M52" t="n">
        <x:v>0</x:v>
      </x:c>
      <x:c r="N52" t="n">
        <x:v>0</x:v>
      </x:c>
      <x:c r="O52" t="n">
        <x:v>0</x:v>
      </x:c>
      <x:c r="P52" t="n">
        <x:v>0</x:v>
      </x:c>
      <x:c r="Q52" t="n">
        <x:v>0</x:v>
      </x:c>
      <x:c r="R52" t="n">
        <x:v>0</x:v>
      </x:c>
      <x:c r="S52" t="n">
        <x:v>0</x:v>
      </x:c>
      <x:c r="T52" t="n">
        <x:v>0</x:v>
      </x:c>
      <x:c r="U52" t="n">
        <x:v>0</x:v>
      </x:c>
      <x:c r="V52" t="n">
        <x:v>0</x:v>
      </x:c>
      <x:c r="W52" t="n">
        <x:v>0</x:v>
      </x:c>
      <x:c r="X52" t="n">
        <x:v>0</x:v>
      </x:c>
      <x:c r="Y52" t="n">
        <x:v>0</x:v>
      </x:c>
      <x:c r="Z52" t="n">
        <x:v>0</x:v>
      </x:c>
    </x:row>
    <x:row r="53">
      <x:c r="A53" t="str">
        <x:v>cao2018_faithful_original_fact</x:v>
      </x:c>
      <x:c r="B53" t="str">
        <x:v>2018</x:v>
      </x:c>
      <x:c r="C53" t="str">
        <x:v>Faithful to the Original: Fact Aware Neural Abstractive Summarization</x:v>
      </x:c>
      <x:c r="D53" t="str">
        <x:v>04_Factuality_Methods</x:v>
      </x:c>
      <x:c r="E53" t="n">
        <x:v>1</x:v>
      </x:c>
      <x:c r="F53" t="n">
        <x:v>0</x:v>
      </x:c>
      <x:c r="G53" t="n">
        <x:v>0</x:v>
      </x:c>
      <x:c r="H53" t="n">
        <x:v>0</x:v>
      </x:c>
      <x:c r="I53" t="n">
        <x:v>0</x:v>
      </x:c>
      <x:c r="J53" t="n">
        <x:v>0</x:v>
      </x:c>
      <x:c r="K53" t="n">
        <x:v>0</x:v>
      </x:c>
      <x:c r="L53" t="n">
        <x:v>0</x:v>
      </x:c>
      <x:c r="M53" t="n">
        <x:v>0</x:v>
      </x:c>
      <x:c r="N53" t="n">
        <x:v>0</x:v>
      </x:c>
      <x:c r="O53" t="n">
        <x:v>0</x:v>
      </x:c>
      <x:c r="P53" t="n">
        <x:v>0</x:v>
      </x:c>
      <x:c r="Q53" t="n">
        <x:v>0</x:v>
      </x:c>
      <x:c r="R53" t="n">
        <x:v>0</x:v>
      </x:c>
      <x:c r="S53" t="n">
        <x:v>0</x:v>
      </x:c>
      <x:c r="T53" t="n">
        <x:v>0</x:v>
      </x:c>
      <x:c r="U53" t="n">
        <x:v>0</x:v>
      </x:c>
      <x:c r="V53" t="n">
        <x:v>0</x:v>
      </x:c>
      <x:c r="W53" t="n">
        <x:v>0</x:v>
      </x:c>
      <x:c r="X53" t="n">
        <x:v>0</x:v>
      </x:c>
      <x:c r="Y53" t="n">
        <x:v>0</x:v>
      </x:c>
      <x:c r="Z53" t="n">
        <x:v>0</x:v>
      </x:c>
    </x:row>
    <x:row r="54">
      <x:c r="A54" t="str">
        <x:v>goodrich2019_assessing_factual_accuracy</x:v>
      </x:c>
      <x:c r="B54" t="str">
        <x:v>2019</x:v>
      </x:c>
      <x:c r="C54" t="str">
        <x:v>Assessing the Factual Accuracy of Generated Text</x:v>
      </x:c>
      <x:c r="D54" t="str">
        <x:v>04_Factuality_Methods</x:v>
      </x:c>
      <x:c r="E54" t="n">
        <x:v>1</x:v>
      </x:c>
      <x:c r="F54" t="n">
        <x:v>0</x:v>
      </x:c>
      <x:c r="G54" t="n">
        <x:v>0</x:v>
      </x:c>
      <x:c r="H54" t="n">
        <x:v>0</x:v>
      </x:c>
      <x:c r="I54" t="n">
        <x:v>0</x:v>
      </x:c>
      <x:c r="J54" t="n">
        <x:v>0</x:v>
      </x:c>
      <x:c r="K54" t="n">
        <x:v>0</x:v>
      </x:c>
      <x:c r="L54" t="n">
        <x:v>0</x:v>
      </x:c>
      <x:c r="M54" t="n">
        <x:v>0</x:v>
      </x:c>
      <x:c r="N54" t="n">
        <x:v>0</x:v>
      </x:c>
      <x:c r="O54" t="n">
        <x:v>0</x:v>
      </x:c>
      <x:c r="P54" t="n">
        <x:v>0</x:v>
      </x:c>
      <x:c r="Q54" t="n">
        <x:v>0</x:v>
      </x:c>
      <x:c r="R54" t="n">
        <x:v>0</x:v>
      </x:c>
      <x:c r="S54" t="n">
        <x:v>0</x:v>
      </x:c>
      <x:c r="T54" t="n">
        <x:v>0</x:v>
      </x:c>
      <x:c r="U54" t="n">
        <x:v>0</x:v>
      </x:c>
      <x:c r="V54" t="n">
        <x:v>0</x:v>
      </x:c>
      <x:c r="W54" t="n">
        <x:v>0</x:v>
      </x:c>
      <x:c r="X54" t="n">
        <x:v>0</x:v>
      </x:c>
      <x:c r="Y54" t="n">
        <x:v>0</x:v>
      </x:c>
      <x:c r="Z54" t="n">
        <x:v>0</x:v>
      </x:c>
    </x:row>
    <x:row r="55">
      <x:c r="A55" t="str">
        <x:v>dziri2022_evaluating_attribution_dialogue</x:v>
      </x:c>
      <x:c r="B55" t="str">
        <x:v>2022</x:v>
      </x:c>
      <x:c r="C55" t="str">
        <x:v>Evaluating Attribution in Dialogue Systems: The BEGIN Benchmark</x:v>
      </x:c>
      <x:c r="D55" t="str">
        <x:v>04_Factuality_Methods</x:v>
      </x:c>
      <x:c r="E55" t="n">
        <x:v>1</x:v>
      </x:c>
      <x:c r="F55" t="n">
        <x:v>0</x:v>
      </x:c>
      <x:c r="G55" t="n">
        <x:v>0</x:v>
      </x:c>
      <x:c r="H55" t="n">
        <x:v>0</x:v>
      </x:c>
      <x:c r="I55" t="n">
        <x:v>0</x:v>
      </x:c>
      <x:c r="J55" t="n">
        <x:v>0</x:v>
      </x:c>
      <x:c r="K55" t="n">
        <x:v>0</x:v>
      </x:c>
      <x:c r="L55" t="n">
        <x:v>0</x:v>
      </x:c>
      <x:c r="M55" t="n">
        <x:v>0</x:v>
      </x:c>
      <x:c r="N55" t="n">
        <x:v>0</x:v>
      </x:c>
      <x:c r="O55" t="n">
        <x:v>0</x:v>
      </x:c>
      <x:c r="P55" t="n">
        <x:v>0</x:v>
      </x:c>
      <x:c r="Q55" t="n">
        <x:v>0</x:v>
      </x:c>
      <x:c r="R55" t="n">
        <x:v>0</x:v>
      </x:c>
      <x:c r="S55" t="n">
        <x:v>0</x:v>
      </x:c>
      <x:c r="T55" t="n">
        <x:v>0</x:v>
      </x:c>
      <x:c r="U55" t="n">
        <x:v>0</x:v>
      </x:c>
      <x:c r="V55" t="n">
        <x:v>0</x:v>
      </x:c>
      <x:c r="W55" t="n">
        <x:v>0</x:v>
      </x:c>
      <x:c r="X55" t="n">
        <x:v>0</x:v>
      </x:c>
      <x:c r="Y55" t="n">
        <x:v>0</x:v>
      </x:c>
      <x:c r="Z55" t="n">
        <x:v>0</x:v>
      </x:c>
    </x:row>
    <x:row r="56">
      <x:c r="A56" t="str">
        <x:v>rashkin2023_measuring_attribution_natural</x:v>
      </x:c>
      <x:c r="B56" t="str">
        <x:v>2023</x:v>
      </x:c>
      <x:c r="C56" t="str">
        <x:v>Measuring Attribution in Natural Language Generation Models</x:v>
      </x:c>
      <x:c r="D56" t="str">
        <x:v>04_Factuality_Methods</x:v>
      </x:c>
      <x:c r="E56" t="n">
        <x:v>1</x:v>
      </x:c>
      <x:c r="F56" t="n">
        <x:v>0</x:v>
      </x:c>
      <x:c r="G56" t="n">
        <x:v>0</x:v>
      </x:c>
      <x:c r="H56" t="n">
        <x:v>0</x:v>
      </x:c>
      <x:c r="I56" t="n">
        <x:v>0</x:v>
      </x:c>
      <x:c r="J56" t="n">
        <x:v>0</x:v>
      </x:c>
      <x:c r="K56" t="n">
        <x:v>0</x:v>
      </x:c>
      <x:c r="L56" t="n">
        <x:v>0</x:v>
      </x:c>
      <x:c r="M56" t="n">
        <x:v>0</x:v>
      </x:c>
      <x:c r="N56" t="n">
        <x:v>0</x:v>
      </x:c>
      <x:c r="O56" t="n">
        <x:v>0</x:v>
      </x:c>
      <x:c r="P56" t="n">
        <x:v>0</x:v>
      </x:c>
      <x:c r="Q56" t="n">
        <x:v>0</x:v>
      </x:c>
      <x:c r="R56" t="n">
        <x:v>0</x:v>
      </x:c>
      <x:c r="S56" t="n">
        <x:v>0</x:v>
      </x:c>
      <x:c r="T56" t="n">
        <x:v>0</x:v>
      </x:c>
      <x:c r="U56" t="n">
        <x:v>0</x:v>
      </x:c>
      <x:c r="V56" t="n">
        <x:v>0</x:v>
      </x:c>
      <x:c r="W56" t="n">
        <x:v>0</x:v>
      </x:c>
      <x:c r="X56" t="n">
        <x:v>0</x:v>
      </x:c>
      <x:c r="Y56" t="n">
        <x:v>0</x:v>
      </x:c>
      <x:c r="Z56" t="n">
        <x:v>0</x:v>
      </x:c>
    </x:row>
    <x:row r="57">
      <x:c r="A57" t="str">
        <x:v>li2023_hallucination_natural_language</x:v>
      </x:c>
      <x:c r="B57" t="str">
        <x:v>2023</x:v>
      </x:c>
      <x:c r="C57" t="str">
        <x:v>Survey of Hallucination in Natural Language Generation</x:v>
      </x:c>
      <x:c r="D57" t="str">
        <x:v>04_Factuality_Methods</x:v>
      </x:c>
      <x:c r="E57" t="n">
        <x:v>1</x:v>
      </x:c>
      <x:c r="F57" t="n">
        <x:v>0</x:v>
      </x:c>
      <x:c r="G57" t="n">
        <x:v>0</x:v>
      </x:c>
      <x:c r="H57" t="n">
        <x:v>0</x:v>
      </x:c>
      <x:c r="I57" t="n">
        <x:v>0</x:v>
      </x:c>
      <x:c r="J57" t="n">
        <x:v>0</x:v>
      </x:c>
      <x:c r="K57" t="n">
        <x:v>0</x:v>
      </x:c>
      <x:c r="L57" t="n">
        <x:v>0</x:v>
      </x:c>
      <x:c r="M57" t="n">
        <x:v>0</x:v>
      </x:c>
      <x:c r="N57" t="n">
        <x:v>0</x:v>
      </x:c>
      <x:c r="O57" t="n">
        <x:v>0</x:v>
      </x:c>
      <x:c r="P57" t="n">
        <x:v>0</x:v>
      </x:c>
      <x:c r="Q57" t="n">
        <x:v>0</x:v>
      </x:c>
      <x:c r="R57" t="n">
        <x:v>0</x:v>
      </x:c>
      <x:c r="S57" t="n">
        <x:v>0</x:v>
      </x:c>
      <x:c r="T57" t="n">
        <x:v>0</x:v>
      </x:c>
      <x:c r="U57" t="n">
        <x:v>0</x:v>
      </x:c>
      <x:c r="V57" t="n">
        <x:v>0</x:v>
      </x:c>
      <x:c r="W57" t="n">
        <x:v>0</x:v>
      </x:c>
      <x:c r="X57" t="n">
        <x:v>0</x:v>
      </x:c>
      <x:c r="Y57" t="n">
        <x:v>0</x:v>
      </x:c>
      <x:c r="Z57" t="n">
        <x:v>0</x:v>
      </x:c>
    </x:row>
    <x:row r="58">
      <x:c r="A58" t="str">
        <x:v>ji2023_hallucination_natural_language</x:v>
      </x:c>
      <x:c r="B58" t="str">
        <x:v>2023</x:v>
      </x:c>
      <x:c r="C58" t="str">
        <x:v>Survey of Hallucination in Natural Language Generation</x:v>
      </x:c>
      <x:c r="D58" t="str">
        <x:v>04_Factuality_Methods</x:v>
      </x:c>
      <x:c r="E58" t="n">
        <x:v>1</x:v>
      </x:c>
      <x:c r="F58" t="n">
        <x:v>0</x:v>
      </x:c>
      <x:c r="G58" t="n">
        <x:v>0</x:v>
      </x:c>
      <x:c r="H58" t="n">
        <x:v>0</x:v>
      </x:c>
      <x:c r="I58" t="n">
        <x:v>0</x:v>
      </x:c>
      <x:c r="J58" t="n">
        <x:v>0</x:v>
      </x:c>
      <x:c r="K58" t="n">
        <x:v>0</x:v>
      </x:c>
      <x:c r="L58" t="n">
        <x:v>0</x:v>
      </x:c>
      <x:c r="M58" t="n">
        <x:v>0</x:v>
      </x:c>
      <x:c r="N58" t="n">
        <x:v>0</x:v>
      </x:c>
      <x:c r="O58" t="n">
        <x:v>0</x:v>
      </x:c>
      <x:c r="P58" t="n">
        <x:v>0</x:v>
      </x:c>
      <x:c r="Q58" t="n">
        <x:v>0</x:v>
      </x:c>
      <x:c r="R58" t="n">
        <x:v>0</x:v>
      </x:c>
      <x:c r="S58" t="n">
        <x:v>0</x:v>
      </x:c>
      <x:c r="T58" t="n">
        <x:v>0</x:v>
      </x:c>
      <x:c r="U58" t="n">
        <x:v>0</x:v>
      </x:c>
      <x:c r="V58" t="n">
        <x:v>0</x:v>
      </x:c>
      <x:c r="W58" t="n">
        <x:v>0</x:v>
      </x:c>
      <x:c r="X58" t="n">
        <x:v>0</x:v>
      </x:c>
      <x:c r="Y58" t="n">
        <x:v>0</x:v>
      </x:c>
      <x:c r="Z58" t="n">
        <x:v>0</x:v>
      </x:c>
    </x:row>
    <x:row r="59">
      <x:c r="A59" t="str">
        <x:v>manakul2023_selfcheckgpt_zero_resource</x:v>
      </x:c>
      <x:c r="B59" t="str">
        <x:v>2023</x:v>
      </x:c>
      <x:c r="C59" t="str">
        <x:v>SelfCheckGPT: Zero-Resource Black-Box Hallucination Detection for Generative Large Language Models</x:v>
      </x:c>
      <x:c r="D59" t="str">
        <x:v>04_Factuality_Methods</x:v>
      </x:c>
      <x:c r="E59" t="n">
        <x:v>1</x:v>
      </x:c>
      <x:c r="F59" t="n">
        <x:v>0</x:v>
      </x:c>
      <x:c r="G59" t="n">
        <x:v>0</x:v>
      </x:c>
      <x:c r="H59" t="n">
        <x:v>0</x:v>
      </x:c>
      <x:c r="I59" t="n">
        <x:v>0</x:v>
      </x:c>
      <x:c r="J59" t="n">
        <x:v>0</x:v>
      </x:c>
      <x:c r="K59" t="n">
        <x:v>0</x:v>
      </x:c>
      <x:c r="L59" t="n">
        <x:v>0</x:v>
      </x:c>
      <x:c r="M59" t="n">
        <x:v>0</x:v>
      </x:c>
      <x:c r="N59" t="n">
        <x:v>0</x:v>
      </x:c>
      <x:c r="O59" t="n">
        <x:v>0</x:v>
      </x:c>
      <x:c r="P59" t="n">
        <x:v>0</x:v>
      </x:c>
      <x:c r="Q59" t="n">
        <x:v>1</x:v>
      </x:c>
      <x:c r="R59" t="n">
        <x:v>0</x:v>
      </x:c>
      <x:c r="S59" t="n">
        <x:v>0</x:v>
      </x:c>
      <x:c r="T59" t="n">
        <x:v>0</x:v>
      </x:c>
      <x:c r="U59" t="n">
        <x:v>0</x:v>
      </x:c>
      <x:c r="V59" t="n">
        <x:v>0</x:v>
      </x:c>
      <x:c r="W59" t="n">
        <x:v>0</x:v>
      </x:c>
      <x:c r="X59" t="n">
        <x:v>0</x:v>
      </x:c>
      <x:c r="Y59" t="n">
        <x:v>0</x:v>
      </x:c>
      <x:c r="Z59" t="n">
        <x:v>0</x:v>
      </x:c>
    </x:row>
    <x:row r="60">
      <x:c r="A60" t="str">
        <x:v>li2023_halueval_hallucination_evaluation</x:v>
      </x:c>
      <x:c r="B60" t="str">
        <x:v>2023</x:v>
      </x:c>
      <x:c r="C60" t="str">
        <x:v>HaluEval: A Large-Scale Hallucination Evaluation Benchmark for Large Language Models</x:v>
      </x:c>
      <x:c r="D60" t="str">
        <x:v>04_Factuality_Methods</x:v>
      </x:c>
      <x:c r="E60" t="n">
        <x:v>0</x:v>
      </x:c>
      <x:c r="F60" t="n">
        <x:v>0</x:v>
      </x:c>
      <x:c r="G60" t="n">
        <x:v>0</x:v>
      </x:c>
      <x:c r="H60" t="n">
        <x:v>0</x:v>
      </x:c>
      <x:c r="I60" t="n">
        <x:v>0</x:v>
      </x:c>
      <x:c r="J60" t="n">
        <x:v>0</x:v>
      </x:c>
      <x:c r="K60" t="n">
        <x:v>0</x:v>
      </x:c>
      <x:c r="L60" t="n">
        <x:v>0</x:v>
      </x:c>
      <x:c r="M60" t="n">
        <x:v>0</x:v>
      </x:c>
      <x:c r="N60" t="n">
        <x:v>0</x:v>
      </x:c>
      <x:c r="O60" t="n">
        <x:v>0</x:v>
      </x:c>
      <x:c r="P60" t="n">
        <x:v>0</x:v>
      </x:c>
      <x:c r="Q60" t="n">
        <x:v>1</x:v>
      </x:c>
      <x:c r="R60" t="n">
        <x:v>0</x:v>
      </x:c>
      <x:c r="S60" t="n">
        <x:v>0</x:v>
      </x:c>
      <x:c r="T60" t="n">
        <x:v>0</x:v>
      </x:c>
      <x:c r="U60" t="n">
        <x:v>0</x:v>
      </x:c>
      <x:c r="V60" t="n">
        <x:v>0</x:v>
      </x:c>
      <x:c r="W60" t="n">
        <x:v>0</x:v>
      </x:c>
      <x:c r="X60" t="n">
        <x:v>0</x:v>
      </x:c>
      <x:c r="Y60" t="n">
        <x:v>0</x:v>
      </x:c>
      <x:c r="Z60" t="n">
        <x:v>0</x:v>
      </x:c>
    </x:row>
    <x:row r="61">
      <x:c r="A61" t="str">
        <x:v>chen2024_hallucination_detection_robustly</x:v>
      </x:c>
      <x:c r="B61" t="str">
        <x:v>2024</x:v>
      </x:c>
      <x:c r="C61" t="str">
        <x:v>Hallucination Detection: Robustly Discerning Reliable Answers in Large Language Models</x:v>
      </x:c>
      <x:c r="D61" t="str">
        <x:v>04_Factuality_Methods</x:v>
      </x:c>
      <x:c r="E61" t="n">
        <x:v>0</x:v>
      </x:c>
      <x:c r="F61" t="n">
        <x:v>0</x:v>
      </x:c>
      <x:c r="G61" t="n">
        <x:v>0</x:v>
      </x:c>
      <x:c r="H61" t="n">
        <x:v>0</x:v>
      </x:c>
      <x:c r="I61" t="n">
        <x:v>0</x:v>
      </x:c>
      <x:c r="J61" t="n">
        <x:v>0</x:v>
      </x:c>
      <x:c r="K61" t="n">
        <x:v>0</x:v>
      </x:c>
      <x:c r="L61" t="n">
        <x:v>0</x:v>
      </x:c>
      <x:c r="M61" t="n">
        <x:v>0</x:v>
      </x:c>
      <x:c r="N61" t="n">
        <x:v>0</x:v>
      </x:c>
      <x:c r="O61" t="n">
        <x:v>0</x:v>
      </x:c>
      <x:c r="P61" t="n">
        <x:v>0</x:v>
      </x:c>
      <x:c r="Q61" t="n">
        <x:v>1</x:v>
      </x:c>
      <x:c r="R61" t="n">
        <x:v>0</x:v>
      </x:c>
      <x:c r="S61" t="n">
        <x:v>0</x:v>
      </x:c>
      <x:c r="T61" t="n">
        <x:v>0</x:v>
      </x:c>
      <x:c r="U61" t="n">
        <x:v>0</x:v>
      </x:c>
      <x:c r="V61" t="n">
        <x:v>0</x:v>
      </x:c>
      <x:c r="W61" t="n">
        <x:v>0</x:v>
      </x:c>
      <x:c r="X61" t="n">
        <x:v>0</x:v>
      </x:c>
      <x:c r="Y61" t="n">
        <x:v>0</x:v>
      </x:c>
      <x:c r="Z61" t="n">
        <x:v>0</x:v>
      </x:c>
    </x:row>
    <x:row r="62">
      <x:c r="A62" t="str">
        <x:v>tam2023_checking_facts_fact</x:v>
      </x:c>
      <x:c r="B62" t="str">
        <x:v>2023</x:v>
      </x:c>
      <x:c r="C62" t="str">
        <x:v>Checking the Facts: A Survey of Fact-Checking with Large Language Models</x:v>
      </x:c>
      <x:c r="D62" t="str">
        <x:v>04_Factuality_Methods</x:v>
      </x:c>
      <x:c r="E62" t="n">
        <x:v>1</x:v>
      </x:c>
      <x:c r="F62" t="n">
        <x:v>0</x:v>
      </x:c>
      <x:c r="G62" t="n">
        <x:v>0</x:v>
      </x:c>
      <x:c r="H62" t="n">
        <x:v>0</x:v>
      </x:c>
      <x:c r="I62" t="n">
        <x:v>0</x:v>
      </x:c>
      <x:c r="J62" t="n">
        <x:v>0</x:v>
      </x:c>
      <x:c r="K62" t="n">
        <x:v>0</x:v>
      </x:c>
      <x:c r="L62" t="n">
        <x:v>0</x:v>
      </x:c>
      <x:c r="M62" t="n">
        <x:v>0</x:v>
      </x:c>
      <x:c r="N62" t="n">
        <x:v>0</x:v>
      </x:c>
      <x:c r="O62" t="n">
        <x:v>0</x:v>
      </x:c>
      <x:c r="P62" t="n">
        <x:v>0</x:v>
      </x:c>
      <x:c r="Q62" t="n">
        <x:v>1</x:v>
      </x:c>
      <x:c r="R62" t="n">
        <x:v>0</x:v>
      </x:c>
      <x:c r="S62" t="n">
        <x:v>0</x:v>
      </x:c>
      <x:c r="T62" t="n">
        <x:v>0</x:v>
      </x:c>
      <x:c r="U62" t="n">
        <x:v>0</x:v>
      </x:c>
      <x:c r="V62" t="n">
        <x:v>0</x:v>
      </x:c>
      <x:c r="W62" t="n">
        <x:v>0</x:v>
      </x:c>
      <x:c r="X62" t="n">
        <x:v>0</x:v>
      </x:c>
      <x:c r="Y62" t="n">
        <x:v>0</x:v>
      </x:c>
      <x:c r="Z62" t="n">
        <x:v>0</x:v>
      </x:c>
    </x:row>
    <x:row r="63">
      <x:c r="A63" t="str">
        <x:v>huang2025_hallucination_language_principles</x:v>
      </x:c>
      <x:c r="B63" t="str">
        <x:v>2025</x:v>
      </x:c>
      <x:c r="C63" t="str">
        <x:v>A Survey on Hallucination in Large Language Models: Principles, Taxonomy, Challenges, and Open Questions</x:v>
      </x:c>
      <x:c r="D63" t="str">
        <x:v>04_Factuality_Methods</x:v>
      </x:c>
      <x:c r="E63" t="n">
        <x:v>0</x:v>
      </x:c>
      <x:c r="F63" t="n">
        <x:v>0</x:v>
      </x:c>
      <x:c r="G63" t="n">
        <x:v>0</x:v>
      </x:c>
      <x:c r="H63" t="n">
        <x:v>0</x:v>
      </x:c>
      <x:c r="I63" t="n">
        <x:v>0</x:v>
      </x:c>
      <x:c r="J63" t="n">
        <x:v>0</x:v>
      </x:c>
      <x:c r="K63" t="n">
        <x:v>0</x:v>
      </x:c>
      <x:c r="L63" t="n">
        <x:v>0</x:v>
      </x:c>
      <x:c r="M63" t="n">
        <x:v>0</x:v>
      </x:c>
      <x:c r="N63" t="n">
        <x:v>0</x:v>
      </x:c>
      <x:c r="O63" t="n">
        <x:v>0</x:v>
      </x:c>
      <x:c r="P63" t="n">
        <x:v>0</x:v>
      </x:c>
      <x:c r="Q63" t="n">
        <x:v>1</x:v>
      </x:c>
      <x:c r="R63" t="n">
        <x:v>0</x:v>
      </x:c>
      <x:c r="S63" t="n">
        <x:v>0</x:v>
      </x:c>
      <x:c r="T63" t="n">
        <x:v>0</x:v>
      </x:c>
      <x:c r="U63" t="n">
        <x:v>0</x:v>
      </x:c>
      <x:c r="V63" t="n">
        <x:v>0</x:v>
      </x:c>
      <x:c r="W63" t="n">
        <x:v>0</x:v>
      </x:c>
      <x:c r="X63" t="n">
        <x:v>0</x:v>
      </x:c>
      <x:c r="Y63" t="n">
        <x:v>0</x:v>
      </x:c>
      <x:c r="Z63" t="n">
        <x:v>0</x:v>
      </x:c>
    </x:row>
    <x:row r="64">
      <x:c r="A64" t="str">
        <x:v>liu2024_lost_middle_how</x:v>
      </x:c>
      <x:c r="B64" t="str">
        <x:v>2024</x:v>
      </x:c>
      <x:c r="C64" t="str">
        <x:v>Lost in the Middle: How Language Models Use Long Contexts</x:v>
      </x:c>
      <x:c r="D64" t="str">
        <x:v>04_Factuality_Methods</x:v>
      </x:c>
      <x:c r="E64" t="n">
        <x:v>1</x:v>
      </x:c>
      <x:c r="F64" t="n">
        <x:v>0</x:v>
      </x:c>
      <x:c r="G64" t="n">
        <x:v>0</x:v>
      </x:c>
      <x:c r="H64" t="n">
        <x:v>0</x:v>
      </x:c>
      <x:c r="I64" t="n">
        <x:v>0</x:v>
      </x:c>
      <x:c r="J64" t="n">
        <x:v>0</x:v>
      </x:c>
      <x:c r="K64" t="n">
        <x:v>0</x:v>
      </x:c>
      <x:c r="L64" t="n">
        <x:v>0</x:v>
      </x:c>
      <x:c r="M64" t="n">
        <x:v>0</x:v>
      </x:c>
      <x:c r="N64" t="n">
        <x:v>0</x:v>
      </x:c>
      <x:c r="O64" t="n">
        <x:v>0</x:v>
      </x:c>
      <x:c r="P64" t="n">
        <x:v>0</x:v>
      </x:c>
      <x:c r="Q64" t="n">
        <x:v>1</x:v>
      </x:c>
      <x:c r="R64" t="n">
        <x:v>0</x:v>
      </x:c>
      <x:c r="S64" t="n">
        <x:v>0</x:v>
      </x:c>
      <x:c r="T64" t="n">
        <x:v>0</x:v>
      </x:c>
      <x:c r="U64" t="n">
        <x:v>0</x:v>
      </x:c>
      <x:c r="V64" t="n">
        <x:v>0</x:v>
      </x:c>
      <x:c r="W64" t="n">
        <x:v>0</x:v>
      </x:c>
      <x:c r="X64" t="n">
        <x:v>0</x:v>
      </x:c>
      <x:c r="Y64" t="n">
        <x:v>0</x:v>
      </x:c>
      <x:c r="Z64" t="n">
        <x:v>0</x:v>
      </x:c>
    </x:row>
    <x:row r="65">
      <x:c r="A65" t="str">
        <x:v>romanov2018_lessons_natural_language</x:v>
      </x:c>
      <x:c r="B65" t="str">
        <x:v>2018</x:v>
      </x:c>
      <x:c r="C65" t="str">
        <x:v>Lessons from Natural Language Inference in the Clinical Domain</x:v>
      </x:c>
      <x:c r="D65" t="str">
        <x:v>07_Medical_NLI</x:v>
      </x:c>
      <x:c r="E65" t="n">
        <x:v>0</x:v>
      </x:c>
      <x:c r="F65" t="n">
        <x:v>0</x:v>
      </x:c>
      <x:c r="G65" t="n">
        <x:v>0</x:v>
      </x:c>
      <x:c r="H65" t="n">
        <x:v>0</x:v>
      </x:c>
      <x:c r="I65" t="n">
        <x:v>0</x:v>
      </x:c>
      <x:c r="J65" t="n">
        <x:v>0</x:v>
      </x:c>
      <x:c r="K65" t="n">
        <x:v>0</x:v>
      </x:c>
      <x:c r="L65" t="n">
        <x:v>0</x:v>
      </x:c>
      <x:c r="M65" t="n">
        <x:v>0</x:v>
      </x:c>
      <x:c r="N65" t="n">
        <x:v>0</x:v>
      </x:c>
      <x:c r="O65" t="n">
        <x:v>0</x:v>
      </x:c>
      <x:c r="P65" t="n">
        <x:v>0</x:v>
      </x:c>
      <x:c r="Q65" t="n">
        <x:v>0</x:v>
      </x:c>
      <x:c r="R65" t="n">
        <x:v>1</x:v>
      </x:c>
      <x:c r="S65" t="n">
        <x:v>0</x:v>
      </x:c>
      <x:c r="T65" t="n">
        <x:v>0</x:v>
      </x:c>
      <x:c r="U65" t="n">
        <x:v>0</x:v>
      </x:c>
      <x:c r="V65" t="n">
        <x:v>0</x:v>
      </x:c>
      <x:c r="W65" t="n">
        <x:v>0</x:v>
      </x:c>
      <x:c r="X65" t="n">
        <x:v>0</x:v>
      </x:c>
      <x:c r="Y65" t="n">
        <x:v>1</x:v>
      </x:c>
      <x:c r="Z65" t="n">
        <x:v>0</x:v>
      </x:c>
    </x:row>
    <x:row r="66">
      <x:c r="A66" t="str">
        <x:v>conneau2018_xnli_evaluating_cross</x:v>
      </x:c>
      <x:c r="B66" t="str">
        <x:v>2018</x:v>
      </x:c>
      <x:c r="C66" t="str">
        <x:v>XNLI: Evaluating Cross-lingual Sentence Representations</x:v>
      </x:c>
      <x:c r="D66" t="str">
        <x:v>07_Medical_NLI</x:v>
      </x:c>
      <x:c r="E66" t="n">
        <x:v>0</x:v>
      </x:c>
      <x:c r="F66" t="n">
        <x:v>0</x:v>
      </x:c>
      <x:c r="G66" t="n">
        <x:v>0</x:v>
      </x:c>
      <x:c r="H66" t="n">
        <x:v>0</x:v>
      </x:c>
      <x:c r="I66" t="n">
        <x:v>0</x:v>
      </x:c>
      <x:c r="J66" t="n">
        <x:v>0</x:v>
      </x:c>
      <x:c r="K66" t="n">
        <x:v>0</x:v>
      </x:c>
      <x:c r="L66" t="n">
        <x:v>1</x:v>
      </x:c>
      <x:c r="M66" t="n">
        <x:v>0</x:v>
      </x:c>
      <x:c r="N66" t="n">
        <x:v>0</x:v>
      </x:c>
      <x:c r="O66" t="n">
        <x:v>0</x:v>
      </x:c>
      <x:c r="P66" t="n">
        <x:v>0</x:v>
      </x:c>
      <x:c r="Q66" t="n">
        <x:v>0</x:v>
      </x:c>
      <x:c r="R66" t="n">
        <x:v>0</x:v>
      </x:c>
      <x:c r="S66" t="n">
        <x:v>0</x:v>
      </x:c>
      <x:c r="T66" t="n">
        <x:v>0</x:v>
      </x:c>
      <x:c r="U66" t="n">
        <x:v>0</x:v>
      </x:c>
      <x:c r="V66" t="n">
        <x:v>0</x:v>
      </x:c>
      <x:c r="W66" t="n">
        <x:v>0</x:v>
      </x:c>
      <x:c r="X66" t="n">
        <x:v>0</x:v>
      </x:c>
      <x:c r="Y66" t="n">
        <x:v>0</x:v>
      </x:c>
      <x:c r="Z66" t="n">
        <x:v>0</x:v>
      </x:c>
    </x:row>
    <x:row r="67">
      <x:c r="A67" t="str">
        <x:v>aggarwal2022_indicxnli_evaluating_multilingual</x:v>
      </x:c>
      <x:c r="B67" t="str">
        <x:v>2022</x:v>
      </x:c>
      <x:c r="C67" t="str">
        <x:v>IndicXNLI: Evaluating Multilingual Inference for Indian Languages</x:v>
      </x:c>
      <x:c r="D67" t="str">
        <x:v>07_Medical_NLI</x:v>
      </x:c>
      <x:c r="E67" t="n">
        <x:v>0</x:v>
      </x:c>
      <x:c r="F67" t="n">
        <x:v>0</x:v>
      </x:c>
      <x:c r="G67" t="n">
        <x:v>1</x:v>
      </x:c>
      <x:c r="H67" t="n">
        <x:v>1</x:v>
      </x:c>
      <x:c r="I67" t="n">
        <x:v>0</x:v>
      </x:c>
      <x:c r="J67" t="n">
        <x:v>0</x:v>
      </x:c>
      <x:c r="K67" t="n">
        <x:v>0</x:v>
      </x:c>
      <x:c r="L67" t="n">
        <x:v>1</x:v>
      </x:c>
      <x:c r="M67" t="n">
        <x:v>0</x:v>
      </x:c>
      <x:c r="N67" t="n">
        <x:v>0</x:v>
      </x:c>
      <x:c r="O67" t="n">
        <x:v>0</x:v>
      </x:c>
      <x:c r="P67" t="n">
        <x:v>0</x:v>
      </x:c>
      <x:c r="Q67" t="n">
        <x:v>0</x:v>
      </x:c>
      <x:c r="R67" t="n">
        <x:v>0</x:v>
      </x:c>
      <x:c r="S67" t="n">
        <x:v>0</x:v>
      </x:c>
      <x:c r="T67" t="n">
        <x:v>0</x:v>
      </x:c>
      <x:c r="U67" t="n">
        <x:v>0</x:v>
      </x:c>
      <x:c r="V67" t="n">
        <x:v>0</x:v>
      </x:c>
      <x:c r="W67" t="n">
        <x:v>0</x:v>
      </x:c>
      <x:c r="X67" t="n">
        <x:v>0</x:v>
      </x:c>
      <x:c r="Y67" t="n">
        <x:v>0</x:v>
      </x:c>
      <x:c r="Z67" t="n">
        <x:v>0</x:v>
      </x:c>
    </x:row>
    <x:row r="68">
      <x:c r="A68" t="str">
        <x:v>bowman2015_annotated_learning_natural</x:v>
      </x:c>
      <x:c r="B68" t="str">
        <x:v>2015</x:v>
      </x:c>
      <x:c r="C68" t="str">
        <x:v>A Large Annotated Corpus for Learning Natural Language Inference</x:v>
      </x:c>
      <x:c r="D68" t="str">
        <x:v>07_Medical_NLI</x:v>
      </x:c>
      <x:c r="E68" t="n">
        <x:v>0</x:v>
      </x:c>
      <x:c r="F68" t="n">
        <x:v>0</x:v>
      </x:c>
      <x:c r="G68" t="n">
        <x:v>0</x:v>
      </x:c>
      <x:c r="H68" t="n">
        <x:v>0</x:v>
      </x:c>
      <x:c r="I68" t="n">
        <x:v>0</x:v>
      </x:c>
      <x:c r="J68" t="n">
        <x:v>0</x:v>
      </x:c>
      <x:c r="K68" t="n">
        <x:v>0</x:v>
      </x:c>
      <x:c r="L68" t="n">
        <x:v>1</x:v>
      </x:c>
      <x:c r="M68" t="n">
        <x:v>0</x:v>
      </x:c>
      <x:c r="N68" t="n">
        <x:v>0</x:v>
      </x:c>
      <x:c r="O68" t="n">
        <x:v>0</x:v>
      </x:c>
      <x:c r="P68" t="n">
        <x:v>0</x:v>
      </x:c>
      <x:c r="Q68" t="n">
        <x:v>0</x:v>
      </x:c>
      <x:c r="R68" t="n">
        <x:v>0</x:v>
      </x:c>
      <x:c r="S68" t="n">
        <x:v>0</x:v>
      </x:c>
      <x:c r="T68" t="n">
        <x:v>0</x:v>
      </x:c>
      <x:c r="U68" t="n">
        <x:v>0</x:v>
      </x:c>
      <x:c r="V68" t="n">
        <x:v>0</x:v>
      </x:c>
      <x:c r="W68" t="n">
        <x:v>0</x:v>
      </x:c>
      <x:c r="X68" t="n">
        <x:v>0</x:v>
      </x:c>
      <x:c r="Y68" t="n">
        <x:v>0</x:v>
      </x:c>
      <x:c r="Z68" t="n">
        <x:v>0</x:v>
      </x:c>
    </x:row>
    <x:row r="69">
      <x:c r="A69" t="str">
        <x:v>williams2018_broad_coverage_challenge</x:v>
      </x:c>
      <x:c r="B69" t="str">
        <x:v>2018</x:v>
      </x:c>
      <x:c r="C69" t="str">
        <x:v>A Broad-Coverage Challenge Corpus for Sentence Understanding through Inference</x:v>
      </x:c>
      <x:c r="D69" t="str">
        <x:v>07_Medical_NLI</x:v>
      </x:c>
      <x:c r="E69" t="n">
        <x:v>0</x:v>
      </x:c>
      <x:c r="F69" t="n">
        <x:v>0</x:v>
      </x:c>
      <x:c r="G69" t="n">
        <x:v>0</x:v>
      </x:c>
      <x:c r="H69" t="n">
        <x:v>0</x:v>
      </x:c>
      <x:c r="I69" t="n">
        <x:v>0</x:v>
      </x:c>
      <x:c r="J69" t="n">
        <x:v>0</x:v>
      </x:c>
      <x:c r="K69" t="n">
        <x:v>0</x:v>
      </x:c>
      <x:c r="L69" t="n">
        <x:v>1</x:v>
      </x:c>
      <x:c r="M69" t="n">
        <x:v>0</x:v>
      </x:c>
      <x:c r="N69" t="n">
        <x:v>0</x:v>
      </x:c>
      <x:c r="O69" t="n">
        <x:v>0</x:v>
      </x:c>
      <x:c r="P69" t="n">
        <x:v>0</x:v>
      </x:c>
      <x:c r="Q69" t="n">
        <x:v>0</x:v>
      </x:c>
      <x:c r="R69" t="n">
        <x:v>0</x:v>
      </x:c>
      <x:c r="S69" t="n">
        <x:v>0</x:v>
      </x:c>
      <x:c r="T69" t="n">
        <x:v>0</x:v>
      </x:c>
      <x:c r="U69" t="n">
        <x:v>0</x:v>
      </x:c>
      <x:c r="V69" t="n">
        <x:v>0</x:v>
      </x:c>
      <x:c r="W69" t="n">
        <x:v>0</x:v>
      </x:c>
      <x:c r="X69" t="n">
        <x:v>0</x:v>
      </x:c>
      <x:c r="Y69" t="n">
        <x:v>0</x:v>
      </x:c>
      <x:c r="Z69" t="n">
        <x:v>0</x:v>
      </x:c>
    </x:row>
    <x:row r="70">
      <x:c r="A70" t="str">
        <x:v>herlihy2021_mednli_not_immune</x:v>
      </x:c>
      <x:c r="B70" t="str">
        <x:v>2021</x:v>
      </x:c>
      <x:c r="C70" t="str">
        <x:v>MedNLI Is Not Immune: Natural Language Inference Artifacts in the Clinical Domain</x:v>
      </x:c>
      <x:c r="D70" t="str">
        <x:v>07_Medical_NLI</x:v>
      </x:c>
      <x:c r="E70" t="n">
        <x:v>0</x:v>
      </x:c>
      <x:c r="F70" t="n">
        <x:v>0</x:v>
      </x:c>
      <x:c r="G70" t="n">
        <x:v>0</x:v>
      </x:c>
      <x:c r="H70" t="n">
        <x:v>0</x:v>
      </x:c>
      <x:c r="I70" t="n">
        <x:v>0</x:v>
      </x:c>
      <x:c r="J70" t="n">
        <x:v>0</x:v>
      </x:c>
      <x:c r="K70" t="n">
        <x:v>0</x:v>
      </x:c>
      <x:c r="L70" t="n">
        <x:v>0</x:v>
      </x:c>
      <x:c r="M70" t="n">
        <x:v>0</x:v>
      </x:c>
      <x:c r="N70" t="n">
        <x:v>0</x:v>
      </x:c>
      <x:c r="O70" t="n">
        <x:v>0</x:v>
      </x:c>
      <x:c r="P70" t="n">
        <x:v>0</x:v>
      </x:c>
      <x:c r="Q70" t="n">
        <x:v>0</x:v>
      </x:c>
      <x:c r="R70" t="n">
        <x:v>0</x:v>
      </x:c>
      <x:c r="S70" t="n">
        <x:v>0</x:v>
      </x:c>
      <x:c r="T70" t="n">
        <x:v>0</x:v>
      </x:c>
      <x:c r="U70" t="n">
        <x:v>0</x:v>
      </x:c>
      <x:c r="V70" t="n">
        <x:v>0</x:v>
      </x:c>
      <x:c r="W70" t="n">
        <x:v>0</x:v>
      </x:c>
      <x:c r="X70" t="n">
        <x:v>0</x:v>
      </x:c>
      <x:c r="Y70" t="n">
        <x:v>1</x:v>
      </x:c>
      <x:c r="Z70" t="n">
        <x:v>0</x:v>
      </x:c>
    </x:row>
    <x:row r="71">
      <x:c r="A71" t="str">
        <x:v>oul2025_turkmednli_turkish_medical</x:v>
      </x:c>
      <x:c r="B71" t="str">
        <x:v>2025</x:v>
      </x:c>
      <x:c r="C71" t="str">
        <x:v>TurkMedNLI: A Turkish Medical Natural Language Inference Dataset</x:v>
      </x:c>
      <x:c r="D71" t="str">
        <x:v>07_Medical_NLI</x:v>
      </x:c>
      <x:c r="E71" t="n">
        <x:v>0</x:v>
      </x:c>
      <x:c r="F71" t="n">
        <x:v>0</x:v>
      </x:c>
      <x:c r="G71" t="n">
        <x:v>0</x:v>
      </x:c>
      <x:c r="H71" t="n">
        <x:v>0</x:v>
      </x:c>
      <x:c r="I71" t="n">
        <x:v>0</x:v>
      </x:c>
      <x:c r="J71" t="n">
        <x:v>1</x:v>
      </x:c>
      <x:c r="K71" t="n">
        <x:v>0</x:v>
      </x:c>
      <x:c r="L71" t="n">
        <x:v>0</x:v>
      </x:c>
      <x:c r="M71" t="n">
        <x:v>0</x:v>
      </x:c>
      <x:c r="N71" t="n">
        <x:v>0</x:v>
      </x:c>
      <x:c r="O71" t="n">
        <x:v>0</x:v>
      </x:c>
      <x:c r="P71" t="n">
        <x:v>0</x:v>
      </x:c>
      <x:c r="Q71" t="n">
        <x:v>0</x:v>
      </x:c>
      <x:c r="R71" t="n">
        <x:v>0</x:v>
      </x:c>
      <x:c r="S71" t="n">
        <x:v>0</x:v>
      </x:c>
      <x:c r="T71" t="n">
        <x:v>0</x:v>
      </x:c>
      <x:c r="U71" t="n">
        <x:v>0</x:v>
      </x:c>
      <x:c r="V71" t="n">
        <x:v>1</x:v>
      </x:c>
      <x:c r="W71" t="n">
        <x:v>0</x:v>
      </x:c>
      <x:c r="X71" t="n">
        <x:v>0</x:v>
      </x:c>
      <x:c r="Y71" t="n">
        <x:v>1</x:v>
      </x:c>
      <x:c r="Z71" t="n">
        <x:v>0</x:v>
      </x:c>
    </x:row>
    <x:row r="72">
      <x:c r="A72" t="str">
        <x:v>chaban2024_enhancing_medical_nli</x:v>
      </x:c>
      <x:c r="B72" t="str">
        <x:v>2024</x:v>
      </x:c>
      <x:c r="C72" t="str">
        <x:v>Enhancing Medical NLI with Integrated Domain Knowledge</x:v>
      </x:c>
      <x:c r="D72" t="str">
        <x:v>07_Medical_NLI</x:v>
      </x:c>
      <x:c r="E72" t="n">
        <x:v>0</x:v>
      </x:c>
      <x:c r="F72" t="n">
        <x:v>0</x:v>
      </x:c>
      <x:c r="G72" t="n">
        <x:v>0</x:v>
      </x:c>
      <x:c r="H72" t="n">
        <x:v>0</x:v>
      </x:c>
      <x:c r="I72" t="n">
        <x:v>0</x:v>
      </x:c>
      <x:c r="J72" t="n">
        <x:v>0</x:v>
      </x:c>
      <x:c r="K72" t="n">
        <x:v>0</x:v>
      </x:c>
      <x:c r="L72" t="n">
        <x:v>0</x:v>
      </x:c>
      <x:c r="M72" t="n">
        <x:v>0</x:v>
      </x:c>
      <x:c r="N72" t="n">
        <x:v>0</x:v>
      </x:c>
      <x:c r="O72" t="n">
        <x:v>0</x:v>
      </x:c>
      <x:c r="P72" t="n">
        <x:v>0</x:v>
      </x:c>
      <x:c r="Q72" t="n">
        <x:v>0</x:v>
      </x:c>
      <x:c r="R72" t="n">
        <x:v>0</x:v>
      </x:c>
      <x:c r="S72" t="n">
        <x:v>0</x:v>
      </x:c>
      <x:c r="T72" t="n">
        <x:v>0</x:v>
      </x:c>
      <x:c r="U72" t="n">
        <x:v>0</x:v>
      </x:c>
      <x:c r="V72" t="n">
        <x:v>0</x:v>
      </x:c>
      <x:c r="W72" t="n">
        <x:v>0</x:v>
      </x:c>
      <x:c r="X72" t="n">
        <x:v>0</x:v>
      </x:c>
      <x:c r="Y72" t="n">
        <x:v>1</x:v>
      </x:c>
      <x:c r="Z72" t="n">
        <x:v>0</x:v>
      </x:c>
    </x:row>
    <x:row r="73">
      <x:c r="A73" t="str">
        <x:v>wadden2020_fact_or_fiction</x:v>
      </x:c>
      <x:c r="B73" t="str">
        <x:v>2020</x:v>
      </x:c>
      <x:c r="C73" t="str">
        <x:v>Fact or Fiction: Verifying Scientific Claims</x:v>
      </x:c>
      <x:c r="D73" t="str">
        <x:v>07_Medical_NLI</x:v>
      </x:c>
      <x:c r="E73" t="n">
        <x:v>0</x:v>
      </x:c>
      <x:c r="F73" t="n">
        <x:v>0</x:v>
      </x:c>
      <x:c r="G73" t="n">
        <x:v>0</x:v>
      </x:c>
      <x:c r="H73" t="n">
        <x:v>0</x:v>
      </x:c>
      <x:c r="I73" t="n">
        <x:v>0</x:v>
      </x:c>
      <x:c r="J73" t="n">
        <x:v>0</x:v>
      </x:c>
      <x:c r="K73" t="n">
        <x:v>0</x:v>
      </x:c>
      <x:c r="L73" t="n">
        <x:v>0</x:v>
      </x:c>
      <x:c r="M73" t="n">
        <x:v>0</x:v>
      </x:c>
      <x:c r="N73" t="n">
        <x:v>0</x:v>
      </x:c>
      <x:c r="O73" t="n">
        <x:v>0</x:v>
      </x:c>
      <x:c r="P73" t="n">
        <x:v>0</x:v>
      </x:c>
      <x:c r="Q73" t="n">
        <x:v>0</x:v>
      </x:c>
      <x:c r="R73" t="n">
        <x:v>0</x:v>
      </x:c>
      <x:c r="S73" t="n">
        <x:v>0</x:v>
      </x:c>
      <x:c r="T73" t="n">
        <x:v>0</x:v>
      </x:c>
      <x:c r="U73" t="n">
        <x:v>0</x:v>
      </x:c>
      <x:c r="V73" t="n">
        <x:v>0</x:v>
      </x:c>
      <x:c r="W73" t="n">
        <x:v>0</x:v>
      </x:c>
      <x:c r="X73" t="n">
        <x:v>0</x:v>
      </x:c>
      <x:c r="Y73" t="n">
        <x:v>0</x:v>
      </x:c>
      <x:c r="Z73" t="n">
        <x:v>0</x:v>
      </x:c>
    </x:row>
    <x:row r="74">
      <x:c r="A74" t="str">
        <x:v>saakyan2021_covid_fact_fact</x:v>
      </x:c>
      <x:c r="B74" t="str">
        <x:v>2021</x:v>
      </x:c>
      <x:c r="C74" t="str">
        <x:v>COVID-Fact: Fact Extraction and Verification of Real-World Claims on COVID-19 Pandemic</x:v>
      </x:c>
      <x:c r="D74" t="str">
        <x:v>07_Medical_NLI</x:v>
      </x:c>
      <x:c r="E74" t="n">
        <x:v>0</x:v>
      </x:c>
      <x:c r="F74" t="n">
        <x:v>0</x:v>
      </x:c>
      <x:c r="G74" t="n">
        <x:v>0</x:v>
      </x:c>
      <x:c r="H74" t="n">
        <x:v>0</x:v>
      </x:c>
      <x:c r="I74" t="n">
        <x:v>0</x:v>
      </x:c>
      <x:c r="J74" t="n">
        <x:v>0</x:v>
      </x:c>
      <x:c r="K74" t="n">
        <x:v>0</x:v>
      </x:c>
      <x:c r="L74" t="n">
        <x:v>0</x:v>
      </x:c>
      <x:c r="M74" t="n">
        <x:v>0</x:v>
      </x:c>
      <x:c r="N74" t="n">
        <x:v>0</x:v>
      </x:c>
      <x:c r="O74" t="n">
        <x:v>0</x:v>
      </x:c>
      <x:c r="P74" t="n">
        <x:v>0</x:v>
      </x:c>
      <x:c r="Q74" t="n">
        <x:v>0</x:v>
      </x:c>
      <x:c r="R74" t="n">
        <x:v>0</x:v>
      </x:c>
      <x:c r="S74" t="n">
        <x:v>0</x:v>
      </x:c>
      <x:c r="T74" t="n">
        <x:v>0</x:v>
      </x:c>
      <x:c r="U74" t="n">
        <x:v>0</x:v>
      </x:c>
      <x:c r="V74" t="n">
        <x:v>0</x:v>
      </x:c>
      <x:c r="W74" t="n">
        <x:v>0</x:v>
      </x:c>
      <x:c r="X74" t="n">
        <x:v>0</x:v>
      </x:c>
      <x:c r="Y74" t="n">
        <x:v>0</x:v>
      </x:c>
      <x:c r="Z74" t="n">
        <x:v>0</x:v>
      </x:c>
    </x:row>
    <x:row r="75">
      <x:c r="A75" t="str">
        <x:v>kotonya2020_explainable_fact_checking</x:v>
      </x:c>
      <x:c r="B75" t="str">
        <x:v>2020</x:v>
      </x:c>
      <x:c r="C75" t="str">
        <x:v>Explainable Automated Fact-Checking for Public Health Claims</x:v>
      </x:c>
      <x:c r="D75" t="str">
        <x:v>07_Medical_NLI</x:v>
      </x:c>
      <x:c r="E75" t="n">
        <x:v>0</x:v>
      </x:c>
      <x:c r="F75" t="n">
        <x:v>0</x:v>
      </x:c>
      <x:c r="G75" t="n">
        <x:v>0</x:v>
      </x:c>
      <x:c r="H75" t="n">
        <x:v>0</x:v>
      </x:c>
      <x:c r="I75" t="n">
        <x:v>0</x:v>
      </x:c>
      <x:c r="J75" t="n">
        <x:v>0</x:v>
      </x:c>
      <x:c r="K75" t="n">
        <x:v>0</x:v>
      </x:c>
      <x:c r="L75" t="n">
        <x:v>0</x:v>
      </x:c>
      <x:c r="M75" t="n">
        <x:v>0</x:v>
      </x:c>
      <x:c r="N75" t="n">
        <x:v>0</x:v>
      </x:c>
      <x:c r="O75" t="n">
        <x:v>0</x:v>
      </x:c>
      <x:c r="P75" t="n">
        <x:v>0</x:v>
      </x:c>
      <x:c r="Q75" t="n">
        <x:v>0</x:v>
      </x:c>
      <x:c r="R75" t="n">
        <x:v>0</x:v>
      </x:c>
      <x:c r="S75" t="n">
        <x:v>0</x:v>
      </x:c>
      <x:c r="T75" t="n">
        <x:v>0</x:v>
      </x:c>
      <x:c r="U75" t="n">
        <x:v>0</x:v>
      </x:c>
      <x:c r="V75" t="n">
        <x:v>0</x:v>
      </x:c>
      <x:c r="W75" t="n">
        <x:v>0</x:v>
      </x:c>
      <x:c r="X75" t="n">
        <x:v>0</x:v>
      </x:c>
      <x:c r="Y75" t="n">
        <x:v>0</x:v>
      </x:c>
      <x:c r="Z75" t="n">
        <x:v>0</x:v>
      </x:c>
    </x:row>
    <x:row r="76">
      <x:c r="A76" t="str">
        <x:v>thorne2018_fever_fact_extraction</x:v>
      </x:c>
      <x:c r="B76" t="str">
        <x:v>2018</x:v>
      </x:c>
      <x:c r="C76" t="str">
        <x:v>FEVER: A Large-scale Dataset for Fact Extraction and VERification</x:v>
      </x:c>
      <x:c r="D76" t="str">
        <x:v>07_Medical_NLI</x:v>
      </x:c>
      <x:c r="E76" t="n">
        <x:v>0</x:v>
      </x:c>
      <x:c r="F76" t="n">
        <x:v>0</x:v>
      </x:c>
      <x:c r="G76" t="n">
        <x:v>0</x:v>
      </x:c>
      <x:c r="H76" t="n">
        <x:v>0</x:v>
      </x:c>
      <x:c r="I76" t="n">
        <x:v>0</x:v>
      </x:c>
      <x:c r="J76" t="n">
        <x:v>0</x:v>
      </x:c>
      <x:c r="K76" t="n">
        <x:v>0</x:v>
      </x:c>
      <x:c r="L76" t="n">
        <x:v>0</x:v>
      </x:c>
      <x:c r="M76" t="n">
        <x:v>0</x:v>
      </x:c>
      <x:c r="N76" t="n">
        <x:v>0</x:v>
      </x:c>
      <x:c r="O76" t="n">
        <x:v>0</x:v>
      </x:c>
      <x:c r="P76" t="n">
        <x:v>0</x:v>
      </x:c>
      <x:c r="Q76" t="n">
        <x:v>0</x:v>
      </x:c>
      <x:c r="R76" t="n">
        <x:v>0</x:v>
      </x:c>
      <x:c r="S76" t="n">
        <x:v>0</x:v>
      </x:c>
      <x:c r="T76" t="n">
        <x:v>0</x:v>
      </x:c>
      <x:c r="U76" t="n">
        <x:v>0</x:v>
      </x:c>
      <x:c r="V76" t="n">
        <x:v>0</x:v>
      </x:c>
      <x:c r="W76" t="n">
        <x:v>0</x:v>
      </x:c>
      <x:c r="X76" t="n">
        <x:v>0</x:v>
      </x:c>
      <x:c r="Y76" t="n">
        <x:v>0</x:v>
      </x:c>
      <x:c r="Z76" t="n">
        <x:v>0</x:v>
      </x:c>
    </x:row>
    <x:row r="77">
      <x:c r="A77" t="str">
        <x:v>nie2019_combining_fact_extraction</x:v>
      </x:c>
      <x:c r="B77" t="str">
        <x:v>2019</x:v>
      </x:c>
      <x:c r="C77" t="str">
        <x:v>Combining Fact Extraction and Verification with Neural Semantic Matching Networks</x:v>
      </x:c>
      <x:c r="D77" t="str">
        <x:v>07_Medical_NLI</x:v>
      </x:c>
      <x:c r="E77" t="n">
        <x:v>0</x:v>
      </x:c>
      <x:c r="F77" t="n">
        <x:v>0</x:v>
      </x:c>
      <x:c r="G77" t="n">
        <x:v>0</x:v>
      </x:c>
      <x:c r="H77" t="n">
        <x:v>0</x:v>
      </x:c>
      <x:c r="I77" t="n">
        <x:v>0</x:v>
      </x:c>
      <x:c r="J77" t="n">
        <x:v>0</x:v>
      </x:c>
      <x:c r="K77" t="n">
        <x:v>0</x:v>
      </x:c>
      <x:c r="L77" t="n">
        <x:v>1</x:v>
      </x:c>
      <x:c r="M77" t="n">
        <x:v>0</x:v>
      </x:c>
      <x:c r="N77" t="n">
        <x:v>0</x:v>
      </x:c>
      <x:c r="O77" t="n">
        <x:v>0</x:v>
      </x:c>
      <x:c r="P77" t="n">
        <x:v>0</x:v>
      </x:c>
      <x:c r="Q77" t="n">
        <x:v>0</x:v>
      </x:c>
      <x:c r="R77" t="n">
        <x:v>0</x:v>
      </x:c>
      <x:c r="S77" t="n">
        <x:v>0</x:v>
      </x:c>
      <x:c r="T77" t="n">
        <x:v>0</x:v>
      </x:c>
      <x:c r="U77" t="n">
        <x:v>0</x:v>
      </x:c>
      <x:c r="V77" t="n">
        <x:v>0</x:v>
      </x:c>
      <x:c r="W77" t="n">
        <x:v>0</x:v>
      </x:c>
      <x:c r="X77" t="n">
        <x:v>0</x:v>
      </x:c>
      <x:c r="Y77" t="n">
        <x:v>0</x:v>
      </x:c>
      <x:c r="Z77" t="n">
        <x:v>0</x:v>
      </x:c>
    </x:row>
    <x:row r="78">
      <x:c r="A78" t="str">
        <x:v>schuster2021_get_your_vitamin</x:v>
      </x:c>
      <x:c r="B78" t="str">
        <x:v>2021</x:v>
      </x:c>
      <x:c r="C78" t="str">
        <x:v>Get Your Vitamin C! Robust Fact Verification with Contrastive Evidence</x:v>
      </x:c>
      <x:c r="D78" t="str">
        <x:v>07_Medical_NLI</x:v>
      </x:c>
      <x:c r="E78" t="n">
        <x:v>0</x:v>
      </x:c>
      <x:c r="F78" t="n">
        <x:v>0</x:v>
      </x:c>
      <x:c r="G78" t="n">
        <x:v>0</x:v>
      </x:c>
      <x:c r="H78" t="n">
        <x:v>0</x:v>
      </x:c>
      <x:c r="I78" t="n">
        <x:v>0</x:v>
      </x:c>
      <x:c r="J78" t="n">
        <x:v>0</x:v>
      </x:c>
      <x:c r="K78" t="n">
        <x:v>0</x:v>
      </x:c>
      <x:c r="L78" t="n">
        <x:v>0</x:v>
      </x:c>
      <x:c r="M78" t="n">
        <x:v>0</x:v>
      </x:c>
      <x:c r="N78" t="n">
        <x:v>0</x:v>
      </x:c>
      <x:c r="O78" t="n">
        <x:v>0</x:v>
      </x:c>
      <x:c r="P78" t="n">
        <x:v>0</x:v>
      </x:c>
      <x:c r="Q78" t="n">
        <x:v>0</x:v>
      </x:c>
      <x:c r="R78" t="n">
        <x:v>0</x:v>
      </x:c>
      <x:c r="S78" t="n">
        <x:v>0</x:v>
      </x:c>
      <x:c r="T78" t="n">
        <x:v>0</x:v>
      </x:c>
      <x:c r="U78" t="n">
        <x:v>0</x:v>
      </x:c>
      <x:c r="V78" t="n">
        <x:v>0</x:v>
      </x:c>
      <x:c r="W78" t="n">
        <x:v>0</x:v>
      </x:c>
      <x:c r="X78" t="n">
        <x:v>0</x:v>
      </x:c>
      <x:c r="Y78" t="n">
        <x:v>0</x:v>
      </x:c>
      <x:c r="Z78" t="n">
        <x:v>0</x:v>
      </x:c>
    </x:row>
    <x:row r="79">
      <x:c r="A79" t="str">
        <x:v>zetsu2024_edit_constrained_decoding</x:v>
      </x:c>
      <x:c r="B79" t="str">
        <x:v>2024</x:v>
      </x:c>
      <x:c r="C79" t="str">
        <x:v>Edit-Constrained Decoding for Sentence Simplification</x:v>
      </x:c>
      <x:c r="D79" t="str">
        <x:v>05_Constrained_Decoding</x:v>
      </x:c>
      <x:c r="E79" t="n">
        <x:v>0</x:v>
      </x:c>
      <x:c r="F79" t="n">
        <x:v>0</x:v>
      </x:c>
      <x:c r="G79" t="n">
        <x:v>0</x:v>
      </x:c>
      <x:c r="H79" t="n">
        <x:v>0</x:v>
      </x:c>
      <x:c r="I79" t="n">
        <x:v>0</x:v>
      </x:c>
      <x:c r="J79" t="n">
        <x:v>0</x:v>
      </x:c>
      <x:c r="K79" t="n">
        <x:v>0</x:v>
      </x:c>
      <x:c r="L79" t="n">
        <x:v>0</x:v>
      </x:c>
      <x:c r="M79" t="n">
        <x:v>0</x:v>
      </x:c>
      <x:c r="N79" t="n">
        <x:v>0</x:v>
      </x:c>
      <x:c r="O79" t="n">
        <x:v>1</x:v>
      </x:c>
      <x:c r="P79" t="n">
        <x:v>0</x:v>
      </x:c>
      <x:c r="Q79" t="n">
        <x:v>0</x:v>
      </x:c>
      <x:c r="R79" t="n">
        <x:v>0</x:v>
      </x:c>
      <x:c r="S79" t="n">
        <x:v>0</x:v>
      </x:c>
      <x:c r="T79" t="n">
        <x:v>0</x:v>
      </x:c>
      <x:c r="U79" t="n">
        <x:v>0</x:v>
      </x:c>
      <x:c r="V79" t="n">
        <x:v>0</x:v>
      </x:c>
      <x:c r="W79" t="n">
        <x:v>0</x:v>
      </x:c>
      <x:c r="X79" t="n">
        <x:v>0</x:v>
      </x:c>
      <x:c r="Y79" t="n">
        <x:v>0</x:v>
      </x:c>
      <x:c r="Z79" t="n">
        <x:v>0</x:v>
      </x:c>
    </x:row>
    <x:row r="80">
      <x:c r="A80" t="str">
        <x:v>hokamp2017_lexically_constrained_decoding</x:v>
      </x:c>
      <x:c r="B80" t="str">
        <x:v>2017</x:v>
      </x:c>
      <x:c r="C80" t="str">
        <x:v>Lexically Constrained Decoding for Sequence Generation Using Grid Beam Search</x:v>
      </x:c>
      <x:c r="D80" t="str">
        <x:v>05_Constrained_Decoding</x:v>
      </x:c>
      <x:c r="E80" t="n">
        <x:v>0</x:v>
      </x:c>
      <x:c r="F80" t="n">
        <x:v>0</x:v>
      </x:c>
      <x:c r="G80" t="n">
        <x:v>0</x:v>
      </x:c>
      <x:c r="H80" t="n">
        <x:v>0</x:v>
      </x:c>
      <x:c r="I80" t="n">
        <x:v>0</x:v>
      </x:c>
      <x:c r="J80" t="n">
        <x:v>0</x:v>
      </x:c>
      <x:c r="K80" t="n">
        <x:v>0</x:v>
      </x:c>
      <x:c r="L80" t="n">
        <x:v>0</x:v>
      </x:c>
      <x:c r="M80" t="n">
        <x:v>0</x:v>
      </x:c>
      <x:c r="N80" t="n">
        <x:v>0</x:v>
      </x:c>
      <x:c r="O80" t="n">
        <x:v>1</x:v>
      </x:c>
      <x:c r="P80" t="n">
        <x:v>0</x:v>
      </x:c>
      <x:c r="Q80" t="n">
        <x:v>0</x:v>
      </x:c>
      <x:c r="R80" t="n">
        <x:v>0</x:v>
      </x:c>
      <x:c r="S80" t="n">
        <x:v>0</x:v>
      </x:c>
      <x:c r="T80" t="n">
        <x:v>0</x:v>
      </x:c>
      <x:c r="U80" t="n">
        <x:v>0</x:v>
      </x:c>
      <x:c r="V80" t="n">
        <x:v>0</x:v>
      </x:c>
      <x:c r="W80" t="n">
        <x:v>0</x:v>
      </x:c>
      <x:c r="X80" t="n">
        <x:v>0</x:v>
      </x:c>
      <x:c r="Y80" t="n">
        <x:v>0</x:v>
      </x:c>
      <x:c r="Z80" t="n">
        <x:v>0</x:v>
      </x:c>
    </x:row>
    <x:row r="81">
      <x:c r="A81" t="str">
        <x:v>post2018_fast_lexically_constrained</x:v>
      </x:c>
      <x:c r="B81" t="str">
        <x:v>2018</x:v>
      </x:c>
      <x:c r="C81" t="str">
        <x:v>Fast Lexically Constrained Decoding with Dynamic Beam Allocation for Neural Machine Translation</x:v>
      </x:c>
      <x:c r="D81" t="str">
        <x:v>05_Constrained_Decoding</x:v>
      </x:c>
      <x:c r="E81" t="n">
        <x:v>0</x:v>
      </x:c>
      <x:c r="F81" t="n">
        <x:v>0</x:v>
      </x:c>
      <x:c r="G81" t="n">
        <x:v>0</x:v>
      </x:c>
      <x:c r="H81" t="n">
        <x:v>0</x:v>
      </x:c>
      <x:c r="I81" t="n">
        <x:v>0</x:v>
      </x:c>
      <x:c r="J81" t="n">
        <x:v>0</x:v>
      </x:c>
      <x:c r="K81" t="n">
        <x:v>0</x:v>
      </x:c>
      <x:c r="L81" t="n">
        <x:v>0</x:v>
      </x:c>
      <x:c r="M81" t="n">
        <x:v>0</x:v>
      </x:c>
      <x:c r="N81" t="n">
        <x:v>0</x:v>
      </x:c>
      <x:c r="O81" t="n">
        <x:v>1</x:v>
      </x:c>
      <x:c r="P81" t="n">
        <x:v>0</x:v>
      </x:c>
      <x:c r="Q81" t="n">
        <x:v>0</x:v>
      </x:c>
      <x:c r="R81" t="n">
        <x:v>0</x:v>
      </x:c>
      <x:c r="S81" t="n">
        <x:v>0</x:v>
      </x:c>
      <x:c r="T81" t="n">
        <x:v>0</x:v>
      </x:c>
      <x:c r="U81" t="n">
        <x:v>0</x:v>
      </x:c>
      <x:c r="V81" t="n">
        <x:v>0</x:v>
      </x:c>
      <x:c r="W81" t="n">
        <x:v>0</x:v>
      </x:c>
      <x:c r="X81" t="n">
        <x:v>0</x:v>
      </x:c>
      <x:c r="Y81" t="n">
        <x:v>0</x:v>
      </x:c>
      <x:c r="Z81" t="n">
        <x:v>0</x:v>
      </x:c>
    </x:row>
    <x:row r="82">
      <x:c r="A82" t="str">
        <x:v>anderson2017_guided_open_vocabulary</x:v>
      </x:c>
      <x:c r="B82" t="str">
        <x:v>2017</x:v>
      </x:c>
      <x:c r="C82" t="str">
        <x:v>Guided Open Vocabulary Image Captioning with Constrained Beam Search</x:v>
      </x:c>
      <x:c r="D82" t="str">
        <x:v>05_Constrained_Decoding</x:v>
      </x:c>
      <x:c r="E82" t="n">
        <x:v>0</x:v>
      </x:c>
      <x:c r="F82" t="n">
        <x:v>0</x:v>
      </x:c>
      <x:c r="G82" t="n">
        <x:v>0</x:v>
      </x:c>
      <x:c r="H82" t="n">
        <x:v>0</x:v>
      </x:c>
      <x:c r="I82" t="n">
        <x:v>0</x:v>
      </x:c>
      <x:c r="J82" t="n">
        <x:v>0</x:v>
      </x:c>
      <x:c r="K82" t="n">
        <x:v>0</x:v>
      </x:c>
      <x:c r="L82" t="n">
        <x:v>0</x:v>
      </x:c>
      <x:c r="M82" t="n">
        <x:v>0</x:v>
      </x:c>
      <x:c r="N82" t="n">
        <x:v>0</x:v>
      </x:c>
      <x:c r="O82" t="n">
        <x:v>1</x:v>
      </x:c>
      <x:c r="P82" t="n">
        <x:v>0</x:v>
      </x:c>
      <x:c r="Q82" t="n">
        <x:v>0</x:v>
      </x:c>
      <x:c r="R82" t="n">
        <x:v>0</x:v>
      </x:c>
      <x:c r="S82" t="n">
        <x:v>0</x:v>
      </x:c>
      <x:c r="T82" t="n">
        <x:v>0</x:v>
      </x:c>
      <x:c r="U82" t="n">
        <x:v>0</x:v>
      </x:c>
      <x:c r="V82" t="n">
        <x:v>0</x:v>
      </x:c>
      <x:c r="W82" t="n">
        <x:v>0</x:v>
      </x:c>
      <x:c r="X82" t="n">
        <x:v>0</x:v>
      </x:c>
      <x:c r="Y82" t="n">
        <x:v>0</x:v>
      </x:c>
      <x:c r="Z82" t="n">
        <x:v>0</x:v>
      </x:c>
    </x:row>
    <x:row r="83">
      <x:c r="A83" t="str">
        <x:v>lu2021_neurologic_decoding_un</x:v>
      </x:c>
      <x:c r="B83" t="str">
        <x:v>2021</x:v>
      </x:c>
      <x:c r="C83" t="str">
        <x:v>Neurologic Decoding: (Un)supervised Neural Text Generation with Predicate Logic Constraints</x:v>
      </x:c>
      <x:c r="D83" t="str">
        <x:v>05_Constrained_Decoding</x:v>
      </x:c>
      <x:c r="E83" t="n">
        <x:v>1</x:v>
      </x:c>
      <x:c r="F83" t="n">
        <x:v>0</x:v>
      </x:c>
      <x:c r="G83" t="n">
        <x:v>0</x:v>
      </x:c>
      <x:c r="H83" t="n">
        <x:v>0</x:v>
      </x:c>
      <x:c r="I83" t="n">
        <x:v>0</x:v>
      </x:c>
      <x:c r="J83" t="n">
        <x:v>0</x:v>
      </x:c>
      <x:c r="K83" t="n">
        <x:v>0</x:v>
      </x:c>
      <x:c r="L83" t="n">
        <x:v>0</x:v>
      </x:c>
      <x:c r="M83" t="n">
        <x:v>0</x:v>
      </x:c>
      <x:c r="N83" t="n">
        <x:v>0</x:v>
      </x:c>
      <x:c r="O83" t="n">
        <x:v>1</x:v>
      </x:c>
      <x:c r="P83" t="n">
        <x:v>0</x:v>
      </x:c>
      <x:c r="Q83" t="n">
        <x:v>0</x:v>
      </x:c>
      <x:c r="R83" t="n">
        <x:v>0</x:v>
      </x:c>
      <x:c r="S83" t="n">
        <x:v>0</x:v>
      </x:c>
      <x:c r="T83" t="n">
        <x:v>0</x:v>
      </x:c>
      <x:c r="U83" t="n">
        <x:v>0</x:v>
      </x:c>
      <x:c r="V83" t="n">
        <x:v>0</x:v>
      </x:c>
      <x:c r="W83" t="n">
        <x:v>0</x:v>
      </x:c>
      <x:c r="X83" t="n">
        <x:v>0</x:v>
      </x:c>
      <x:c r="Y83" t="n">
        <x:v>0</x:v>
      </x:c>
      <x:c r="Z83" t="n">
        <x:v>0</x:v>
      </x:c>
    </x:row>
    <x:row r="84">
      <x:c r="A84" t="str">
        <x:v>welleck2020_neural_text_generation</x:v>
      </x:c>
      <x:c r="B84" t="str">
        <x:v>2020</x:v>
      </x:c>
      <x:c r="C84" t="str">
        <x:v>Neural Text Generation with Unlikelihood Training</x:v>
      </x:c>
      <x:c r="D84" t="str">
        <x:v>05_Constrained_Decoding</x:v>
      </x:c>
      <x:c r="E84" t="n">
        <x:v>0</x:v>
      </x:c>
      <x:c r="F84" t="n">
        <x:v>0</x:v>
      </x:c>
      <x:c r="G84" t="n">
        <x:v>0</x:v>
      </x:c>
      <x:c r="H84" t="n">
        <x:v>0</x:v>
      </x:c>
      <x:c r="I84" t="n">
        <x:v>0</x:v>
      </x:c>
      <x:c r="J84" t="n">
        <x:v>0</x:v>
      </x:c>
      <x:c r="K84" t="n">
        <x:v>0</x:v>
      </x:c>
      <x:c r="L84" t="n">
        <x:v>0</x:v>
      </x:c>
      <x:c r="M84" t="n">
        <x:v>0</x:v>
      </x:c>
      <x:c r="N84" t="n">
        <x:v>0</x:v>
      </x:c>
      <x:c r="O84" t="n">
        <x:v>0</x:v>
      </x:c>
      <x:c r="P84" t="n">
        <x:v>0</x:v>
      </x:c>
      <x:c r="Q84" t="n">
        <x:v>0</x:v>
      </x:c>
      <x:c r="R84" t="n">
        <x:v>0</x:v>
      </x:c>
      <x:c r="S84" t="n">
        <x:v>0</x:v>
      </x:c>
      <x:c r="T84" t="n">
        <x:v>0</x:v>
      </x:c>
      <x:c r="U84" t="n">
        <x:v>0</x:v>
      </x:c>
      <x:c r="V84" t="n">
        <x:v>0</x:v>
      </x:c>
      <x:c r="W84" t="n">
        <x:v>0</x:v>
      </x:c>
      <x:c r="X84" t="n">
        <x:v>0</x:v>
      </x:c>
      <x:c r="Y84" t="n">
        <x:v>0</x:v>
      </x:c>
      <x:c r="Z84" t="n">
        <x:v>0</x:v>
      </x:c>
    </x:row>
    <x:row r="85">
      <x:c r="A85" t="str">
        <x:v>pascual2021_plug_play_controlled</x:v>
      </x:c>
      <x:c r="B85" t="str">
        <x:v>2021</x:v>
      </x:c>
      <x:c r="C85" t="str">
        <x:v>A Plug-and-Play Method for Controlled Text Generation</x:v>
      </x:c>
      <x:c r="D85" t="str">
        <x:v>05_Constrained_Decoding</x:v>
      </x:c>
      <x:c r="E85" t="n">
        <x:v>0</x:v>
      </x:c>
      <x:c r="F85" t="n">
        <x:v>0</x:v>
      </x:c>
      <x:c r="G85" t="n">
        <x:v>0</x:v>
      </x:c>
      <x:c r="H85" t="n">
        <x:v>0</x:v>
      </x:c>
      <x:c r="I85" t="n">
        <x:v>0</x:v>
      </x:c>
      <x:c r="J85" t="n">
        <x:v>0</x:v>
      </x:c>
      <x:c r="K85" t="n">
        <x:v>0</x:v>
      </x:c>
      <x:c r="L85" t="n">
        <x:v>0</x:v>
      </x:c>
      <x:c r="M85" t="n">
        <x:v>0</x:v>
      </x:c>
      <x:c r="N85" t="n">
        <x:v>0</x:v>
      </x:c>
      <x:c r="O85" t="n">
        <x:v>0</x:v>
      </x:c>
      <x:c r="P85" t="n">
        <x:v>0</x:v>
      </x:c>
      <x:c r="Q85" t="n">
        <x:v>0</x:v>
      </x:c>
      <x:c r="R85" t="n">
        <x:v>0</x:v>
      </x:c>
      <x:c r="S85" t="n">
        <x:v>0</x:v>
      </x:c>
      <x:c r="T85" t="n">
        <x:v>0</x:v>
      </x:c>
      <x:c r="U85" t="n">
        <x:v>0</x:v>
      </x:c>
      <x:c r="V85" t="n">
        <x:v>0</x:v>
      </x:c>
      <x:c r="W85" t="n">
        <x:v>0</x:v>
      </x:c>
      <x:c r="X85" t="n">
        <x:v>0</x:v>
      </x:c>
      <x:c r="Y85" t="n">
        <x:v>0</x:v>
      </x:c>
      <x:c r="Z85" t="n">
        <x:v>0</x:v>
      </x:c>
    </x:row>
    <x:row r="86">
      <x:c r="A86" t="str">
        <x:v>dathathri2020_plug_play_language</x:v>
      </x:c>
      <x:c r="B86" t="str">
        <x:v>2020</x:v>
      </x:c>
      <x:c r="C86" t="str">
        <x:v>Plug and Play Language Models: A Simple Approach to Controlled Text Generation</x:v>
      </x:c>
      <x:c r="D86" t="str">
        <x:v>05_Constrained_Decoding</x:v>
      </x:c>
      <x:c r="E86" t="n">
        <x:v>0</x:v>
      </x:c>
      <x:c r="F86" t="n">
        <x:v>0</x:v>
      </x:c>
      <x:c r="G86" t="n">
        <x:v>0</x:v>
      </x:c>
      <x:c r="H86" t="n">
        <x:v>0</x:v>
      </x:c>
      <x:c r="I86" t="n">
        <x:v>0</x:v>
      </x:c>
      <x:c r="J86" t="n">
        <x:v>0</x:v>
      </x:c>
      <x:c r="K86" t="n">
        <x:v>0</x:v>
      </x:c>
      <x:c r="L86" t="n">
        <x:v>0</x:v>
      </x:c>
      <x:c r="M86" t="n">
        <x:v>0</x:v>
      </x:c>
      <x:c r="N86" t="n">
        <x:v>0</x:v>
      </x:c>
      <x:c r="O86" t="n">
        <x:v>0</x:v>
      </x:c>
      <x:c r="P86" t="n">
        <x:v>0</x:v>
      </x:c>
      <x:c r="Q86" t="n">
        <x:v>1</x:v>
      </x:c>
      <x:c r="R86" t="n">
        <x:v>0</x:v>
      </x:c>
      <x:c r="S86" t="n">
        <x:v>0</x:v>
      </x:c>
      <x:c r="T86" t="n">
        <x:v>0</x:v>
      </x:c>
      <x:c r="U86" t="n">
        <x:v>0</x:v>
      </x:c>
      <x:c r="V86" t="n">
        <x:v>0</x:v>
      </x:c>
      <x:c r="W86" t="n">
        <x:v>0</x:v>
      </x:c>
      <x:c r="X86" t="n">
        <x:v>0</x:v>
      </x:c>
      <x:c r="Y86" t="n">
        <x:v>0</x:v>
      </x:c>
      <x:c r="Z86" t="n">
        <x:v>0</x:v>
      </x:c>
    </x:row>
    <x:row r="87">
      <x:c r="A87" t="str">
        <x:v>krause2021_gedi_generative_discriminator</x:v>
      </x:c>
      <x:c r="B87" t="str">
        <x:v>2021</x:v>
      </x:c>
      <x:c r="C87" t="str">
        <x:v>GeDi: Generative Discriminator Guided Sequence Generation</x:v>
      </x:c>
      <x:c r="D87" t="str">
        <x:v>05_Constrained_Decoding</x:v>
      </x:c>
      <x:c r="E87" t="n">
        <x:v>0</x:v>
      </x:c>
      <x:c r="F87" t="n">
        <x:v>0</x:v>
      </x:c>
      <x:c r="G87" t="n">
        <x:v>0</x:v>
      </x:c>
      <x:c r="H87" t="n">
        <x:v>0</x:v>
      </x:c>
      <x:c r="I87" t="n">
        <x:v>0</x:v>
      </x:c>
      <x:c r="J87" t="n">
        <x:v>0</x:v>
      </x:c>
      <x:c r="K87" t="n">
        <x:v>0</x:v>
      </x:c>
      <x:c r="L87" t="n">
        <x:v>0</x:v>
      </x:c>
      <x:c r="M87" t="n">
        <x:v>0</x:v>
      </x:c>
      <x:c r="N87" t="n">
        <x:v>0</x:v>
      </x:c>
      <x:c r="O87" t="n">
        <x:v>0</x:v>
      </x:c>
      <x:c r="P87" t="n">
        <x:v>0</x:v>
      </x:c>
      <x:c r="Q87" t="n">
        <x:v>0</x:v>
      </x:c>
      <x:c r="R87" t="n">
        <x:v>0</x:v>
      </x:c>
      <x:c r="S87" t="n">
        <x:v>0</x:v>
      </x:c>
      <x:c r="T87" t="n">
        <x:v>0</x:v>
      </x:c>
      <x:c r="U87" t="n">
        <x:v>0</x:v>
      </x:c>
      <x:c r="V87" t="n">
        <x:v>0</x:v>
      </x:c>
      <x:c r="W87" t="n">
        <x:v>0</x:v>
      </x:c>
      <x:c r="X87" t="n">
        <x:v>0</x:v>
      </x:c>
      <x:c r="Y87" t="n">
        <x:v>0</x:v>
      </x:c>
      <x:c r="Z87" t="n">
        <x:v>0</x:v>
      </x:c>
    </x:row>
    <x:row r="88">
      <x:c r="A88" t="str">
        <x:v>shin2020_autoprompt_eliciting_knowledge</x:v>
      </x:c>
      <x:c r="B88" t="str">
        <x:v>2020</x:v>
      </x:c>
      <x:c r="C88" t="str">
        <x:v>AutoPrompt: Eliciting Knowledge from Language Models with Automatically Generated Prompts</x:v>
      </x:c>
      <x:c r="D88" t="str">
        <x:v>05_Constrained_Decoding</x:v>
      </x:c>
      <x:c r="E88" t="n">
        <x:v>0</x:v>
      </x:c>
      <x:c r="F88" t="n">
        <x:v>0</x:v>
      </x:c>
      <x:c r="G88" t="n">
        <x:v>0</x:v>
      </x:c>
      <x:c r="H88" t="n">
        <x:v>0</x:v>
      </x:c>
      <x:c r="I88" t="n">
        <x:v>0</x:v>
      </x:c>
      <x:c r="J88" t="n">
        <x:v>0</x:v>
      </x:c>
      <x:c r="K88" t="n">
        <x:v>0</x:v>
      </x:c>
      <x:c r="L88" t="n">
        <x:v>0</x:v>
      </x:c>
      <x:c r="M88" t="n">
        <x:v>0</x:v>
      </x:c>
      <x:c r="N88" t="n">
        <x:v>0</x:v>
      </x:c>
      <x:c r="O88" t="n">
        <x:v>0</x:v>
      </x:c>
      <x:c r="P88" t="n">
        <x:v>0</x:v>
      </x:c>
      <x:c r="Q88" t="n">
        <x:v>0</x:v>
      </x:c>
      <x:c r="R88" t="n">
        <x:v>0</x:v>
      </x:c>
      <x:c r="S88" t="n">
        <x:v>0</x:v>
      </x:c>
      <x:c r="T88" t="n">
        <x:v>0</x:v>
      </x:c>
      <x:c r="U88" t="n">
        <x:v>0</x:v>
      </x:c>
      <x:c r="V88" t="n">
        <x:v>0</x:v>
      </x:c>
      <x:c r="W88" t="n">
        <x:v>0</x:v>
      </x:c>
      <x:c r="X88" t="n">
        <x:v>0</x:v>
      </x:c>
      <x:c r="Y88" t="n">
        <x:v>0</x:v>
      </x:c>
      <x:c r="Z88" t="n">
        <x:v>0</x:v>
      </x:c>
    </x:row>
    <x:row r="89">
      <x:c r="A89" t="str">
        <x:v>hu2017_controlled_generation_text</x:v>
      </x:c>
      <x:c r="B89" t="str">
        <x:v>2017</x:v>
      </x:c>
      <x:c r="C89" t="str">
        <x:v>Toward Controlled Generation of Text</x:v>
      </x:c>
      <x:c r="D89" t="str">
        <x:v>05_Constrained_Decoding</x:v>
      </x:c>
      <x:c r="E89" t="n">
        <x:v>0</x:v>
      </x:c>
      <x:c r="F89" t="n">
        <x:v>0</x:v>
      </x:c>
      <x:c r="G89" t="n">
        <x:v>0</x:v>
      </x:c>
      <x:c r="H89" t="n">
        <x:v>0</x:v>
      </x:c>
      <x:c r="I89" t="n">
        <x:v>0</x:v>
      </x:c>
      <x:c r="J89" t="n">
        <x:v>0</x:v>
      </x:c>
      <x:c r="K89" t="n">
        <x:v>0</x:v>
      </x:c>
      <x:c r="L89" t="n">
        <x:v>0</x:v>
      </x:c>
      <x:c r="M89" t="n">
        <x:v>0</x:v>
      </x:c>
      <x:c r="N89" t="n">
        <x:v>0</x:v>
      </x:c>
      <x:c r="O89" t="n">
        <x:v>0</x:v>
      </x:c>
      <x:c r="P89" t="n">
        <x:v>0</x:v>
      </x:c>
      <x:c r="Q89" t="n">
        <x:v>0</x:v>
      </x:c>
      <x:c r="R89" t="n">
        <x:v>0</x:v>
      </x:c>
      <x:c r="S89" t="n">
        <x:v>0</x:v>
      </x:c>
      <x:c r="T89" t="n">
        <x:v>0</x:v>
      </x:c>
      <x:c r="U89" t="n">
        <x:v>0</x:v>
      </x:c>
      <x:c r="V89" t="n">
        <x:v>0</x:v>
      </x:c>
      <x:c r="W89" t="n">
        <x:v>0</x:v>
      </x:c>
      <x:c r="X89" t="n">
        <x:v>0</x:v>
      </x:c>
      <x:c r="Y89" t="n">
        <x:v>0</x:v>
      </x:c>
      <x:c r="Z89" t="n">
        <x:v>0</x:v>
      </x:c>
    </x:row>
    <x:row r="90">
      <x:c r="A90" t="str">
        <x:v>kumar2020_controlled_text_generation</x:v>
      </x:c>
      <x:c r="B90" t="str">
        <x:v>2020</x:v>
      </x:c>
      <x:c r="C90" t="str">
        <x:v>Controlled Text Generation as Continuous Optimization with Multiple Constraints</x:v>
      </x:c>
      <x:c r="D90" t="str">
        <x:v>05_Constrained_Decoding</x:v>
      </x:c>
      <x:c r="E90" t="n">
        <x:v>0</x:v>
      </x:c>
      <x:c r="F90" t="n">
        <x:v>0</x:v>
      </x:c>
      <x:c r="G90" t="n">
        <x:v>0</x:v>
      </x:c>
      <x:c r="H90" t="n">
        <x:v>0</x:v>
      </x:c>
      <x:c r="I90" t="n">
        <x:v>0</x:v>
      </x:c>
      <x:c r="J90" t="n">
        <x:v>0</x:v>
      </x:c>
      <x:c r="K90" t="n">
        <x:v>0</x:v>
      </x:c>
      <x:c r="L90" t="n">
        <x:v>0</x:v>
      </x:c>
      <x:c r="M90" t="n">
        <x:v>0</x:v>
      </x:c>
      <x:c r="N90" t="n">
        <x:v>0</x:v>
      </x:c>
      <x:c r="O90" t="n">
        <x:v>0</x:v>
      </x:c>
      <x:c r="P90" t="n">
        <x:v>0</x:v>
      </x:c>
      <x:c r="Q90" t="n">
        <x:v>0</x:v>
      </x:c>
      <x:c r="R90" t="n">
        <x:v>0</x:v>
      </x:c>
      <x:c r="S90" t="n">
        <x:v>0</x:v>
      </x:c>
      <x:c r="T90" t="n">
        <x:v>0</x:v>
      </x:c>
      <x:c r="U90" t="n">
        <x:v>0</x:v>
      </x:c>
      <x:c r="V90" t="n">
        <x:v>0</x:v>
      </x:c>
      <x:c r="W90" t="n">
        <x:v>0</x:v>
      </x:c>
      <x:c r="X90" t="n">
        <x:v>0</x:v>
      </x:c>
      <x:c r="Y90" t="n">
        <x:v>0</x:v>
      </x:c>
      <x:c r="Z90" t="n">
        <x:v>0</x:v>
      </x:c>
    </x:row>
    <x:row r="91">
      <x:c r="A91" t="str">
        <x:v>lewis2020_retrieval_augmented_generation</x:v>
      </x:c>
      <x:c r="B91" t="str">
        <x:v>2020</x:v>
      </x:c>
      <x:c r="C91" t="str">
        <x:v>Retrieval-Augmented Generation for Knowledge-Intensive NLP Tasks</x:v>
      </x:c>
      <x:c r="D91" t="str">
        <x:v>06_RAG_KG_Medical</x:v>
      </x:c>
      <x:c r="E91" t="n">
        <x:v>0</x:v>
      </x:c>
      <x:c r="F91" t="n">
        <x:v>0</x:v>
      </x:c>
      <x:c r="G91" t="n">
        <x:v>0</x:v>
      </x:c>
      <x:c r="H91" t="n">
        <x:v>0</x:v>
      </x:c>
      <x:c r="I91" t="n">
        <x:v>0</x:v>
      </x:c>
      <x:c r="J91" t="n">
        <x:v>0</x:v>
      </x:c>
      <x:c r="K91" t="n">
        <x:v>0</x:v>
      </x:c>
      <x:c r="L91" t="n">
        <x:v>0</x:v>
      </x:c>
      <x:c r="M91" t="n">
        <x:v>1</x:v>
      </x:c>
      <x:c r="N91" t="n">
        <x:v>0</x:v>
      </x:c>
      <x:c r="O91" t="n">
        <x:v>0</x:v>
      </x:c>
      <x:c r="P91" t="n">
        <x:v>0</x:v>
      </x:c>
      <x:c r="Q91" t="n">
        <x:v>0</x:v>
      </x:c>
      <x:c r="R91" t="n">
        <x:v>0</x:v>
      </x:c>
      <x:c r="S91" t="n">
        <x:v>0</x:v>
      </x:c>
      <x:c r="T91" t="n">
        <x:v>0</x:v>
      </x:c>
      <x:c r="U91" t="n">
        <x:v>0</x:v>
      </x:c>
      <x:c r="V91" t="n">
        <x:v>0</x:v>
      </x:c>
      <x:c r="W91" t="n">
        <x:v>0</x:v>
      </x:c>
      <x:c r="X91" t="n">
        <x:v>0</x:v>
      </x:c>
      <x:c r="Y91" t="n">
        <x:v>0</x:v>
      </x:c>
      <x:c r="Z91" t="n">
        <x:v>0</x:v>
      </x:c>
    </x:row>
    <x:row r="92">
      <x:c r="A92" t="str">
        <x:v>guu2020_realm_retrieval_augmented</x:v>
      </x:c>
      <x:c r="B92" t="str">
        <x:v>2020</x:v>
      </x:c>
      <x:c r="C92" t="str">
        <x:v>REALM: Retrieval-Augmented Language Model Pre-Training</x:v>
      </x:c>
      <x:c r="D92" t="str">
        <x:v>06_RAG_KG_Medical</x:v>
      </x:c>
      <x:c r="E92" t="n">
        <x:v>0</x:v>
      </x:c>
      <x:c r="F92" t="n">
        <x:v>0</x:v>
      </x:c>
      <x:c r="G92" t="n">
        <x:v>0</x:v>
      </x:c>
      <x:c r="H92" t="n">
        <x:v>0</x:v>
      </x:c>
      <x:c r="I92" t="n">
        <x:v>0</x:v>
      </x:c>
      <x:c r="J92" t="n">
        <x:v>0</x:v>
      </x:c>
      <x:c r="K92" t="n">
        <x:v>0</x:v>
      </x:c>
      <x:c r="L92" t="n">
        <x:v>0</x:v>
      </x:c>
      <x:c r="M92" t="n">
        <x:v>1</x:v>
      </x:c>
      <x:c r="N92" t="n">
        <x:v>0</x:v>
      </x:c>
      <x:c r="O92" t="n">
        <x:v>0</x:v>
      </x:c>
      <x:c r="P92" t="n">
        <x:v>0</x:v>
      </x:c>
      <x:c r="Q92" t="n">
        <x:v>0</x:v>
      </x:c>
      <x:c r="R92" t="n">
        <x:v>0</x:v>
      </x:c>
      <x:c r="S92" t="n">
        <x:v>0</x:v>
      </x:c>
      <x:c r="T92" t="n">
        <x:v>0</x:v>
      </x:c>
      <x:c r="U92" t="n">
        <x:v>0</x:v>
      </x:c>
      <x:c r="V92" t="n">
        <x:v>0</x:v>
      </x:c>
      <x:c r="W92" t="n">
        <x:v>0</x:v>
      </x:c>
      <x:c r="X92" t="n">
        <x:v>0</x:v>
      </x:c>
      <x:c r="Y92" t="n">
        <x:v>0</x:v>
      </x:c>
      <x:c r="Z92" t="n">
        <x:v>0</x:v>
      </x:c>
    </x:row>
    <x:row r="93">
      <x:c r="A93" t="str">
        <x:v>karpukhin2020_dense_passage_retrieval</x:v>
      </x:c>
      <x:c r="B93" t="str">
        <x:v>2020</x:v>
      </x:c>
      <x:c r="C93" t="str">
        <x:v>Dense Passage Retrieval for Open-Domain Question Answering</x:v>
      </x:c>
      <x:c r="D93" t="str">
        <x:v>06_RAG_KG_Medical</x:v>
      </x:c>
      <x:c r="E93" t="n">
        <x:v>0</x:v>
      </x:c>
      <x:c r="F93" t="n">
        <x:v>0</x:v>
      </x:c>
      <x:c r="G93" t="n">
        <x:v>0</x:v>
      </x:c>
      <x:c r="H93" t="n">
        <x:v>0</x:v>
      </x:c>
      <x:c r="I93" t="n">
        <x:v>0</x:v>
      </x:c>
      <x:c r="J93" t="n">
        <x:v>0</x:v>
      </x:c>
      <x:c r="K93" t="n">
        <x:v>0</x:v>
      </x:c>
      <x:c r="L93" t="n">
        <x:v>0</x:v>
      </x:c>
      <x:c r="M93" t="n">
        <x:v>1</x:v>
      </x:c>
      <x:c r="N93" t="n">
        <x:v>0</x:v>
      </x:c>
      <x:c r="O93" t="n">
        <x:v>0</x:v>
      </x:c>
      <x:c r="P93" t="n">
        <x:v>0</x:v>
      </x:c>
      <x:c r="Q93" t="n">
        <x:v>0</x:v>
      </x:c>
      <x:c r="R93" t="n">
        <x:v>0</x:v>
      </x:c>
      <x:c r="S93" t="n">
        <x:v>0</x:v>
      </x:c>
      <x:c r="T93" t="n">
        <x:v>0</x:v>
      </x:c>
      <x:c r="U93" t="n">
        <x:v>0</x:v>
      </x:c>
      <x:c r="V93" t="n">
        <x:v>0</x:v>
      </x:c>
      <x:c r="W93" t="n">
        <x:v>0</x:v>
      </x:c>
      <x:c r="X93" t="n">
        <x:v>0</x:v>
      </x:c>
      <x:c r="Y93" t="n">
        <x:v>0</x:v>
      </x:c>
      <x:c r="Z93" t="n">
        <x:v>0</x:v>
      </x:c>
    </x:row>
    <x:row r="94">
      <x:c r="A94" t="str">
        <x:v>izacard2021_leveraging_passage_retrieval</x:v>
      </x:c>
      <x:c r="B94" t="str">
        <x:v>2021</x:v>
      </x:c>
      <x:c r="C94" t="str">
        <x:v>Leveraging Passage Retrieval with Generative Models for Open Domain Question Answering</x:v>
      </x:c>
      <x:c r="D94" t="str">
        <x:v>06_RAG_KG_Medical</x:v>
      </x:c>
      <x:c r="E94" t="n">
        <x:v>0</x:v>
      </x:c>
      <x:c r="F94" t="n">
        <x:v>0</x:v>
      </x:c>
      <x:c r="G94" t="n">
        <x:v>0</x:v>
      </x:c>
      <x:c r="H94" t="n">
        <x:v>0</x:v>
      </x:c>
      <x:c r="I94" t="n">
        <x:v>0</x:v>
      </x:c>
      <x:c r="J94" t="n">
        <x:v>0</x:v>
      </x:c>
      <x:c r="K94" t="n">
        <x:v>0</x:v>
      </x:c>
      <x:c r="L94" t="n">
        <x:v>0</x:v>
      </x:c>
      <x:c r="M94" t="n">
        <x:v>1</x:v>
      </x:c>
      <x:c r="N94" t="n">
        <x:v>0</x:v>
      </x:c>
      <x:c r="O94" t="n">
        <x:v>0</x:v>
      </x:c>
      <x:c r="P94" t="n">
        <x:v>0</x:v>
      </x:c>
      <x:c r="Q94" t="n">
        <x:v>0</x:v>
      </x:c>
      <x:c r="R94" t="n">
        <x:v>0</x:v>
      </x:c>
      <x:c r="S94" t="n">
        <x:v>0</x:v>
      </x:c>
      <x:c r="T94" t="n">
        <x:v>0</x:v>
      </x:c>
      <x:c r="U94" t="n">
        <x:v>0</x:v>
      </x:c>
      <x:c r="V94" t="n">
        <x:v>0</x:v>
      </x:c>
      <x:c r="W94" t="n">
        <x:v>0</x:v>
      </x:c>
      <x:c r="X94" t="n">
        <x:v>0</x:v>
      </x:c>
      <x:c r="Y94" t="n">
        <x:v>0</x:v>
      </x:c>
      <x:c r="Z94" t="n">
        <x:v>0</x:v>
      </x:c>
    </x:row>
    <x:row r="95">
      <x:c r="A95" t="str">
        <x:v>asai2024_self_rag_learning</x:v>
      </x:c>
      <x:c r="B95" t="str">
        <x:v>2024</x:v>
      </x:c>
      <x:c r="C95" t="str">
        <x:v>Self-RAG: Learning to Retrieve, Generate, and Critique through Self-Reflection</x:v>
      </x:c>
      <x:c r="D95" t="str">
        <x:v>06_RAG_KG_Medical</x:v>
      </x:c>
      <x:c r="E95" t="n">
        <x:v>0</x:v>
      </x:c>
      <x:c r="F95" t="n">
        <x:v>0</x:v>
      </x:c>
      <x:c r="G95" t="n">
        <x:v>0</x:v>
      </x:c>
      <x:c r="H95" t="n">
        <x:v>0</x:v>
      </x:c>
      <x:c r="I95" t="n">
        <x:v>0</x:v>
      </x:c>
      <x:c r="J95" t="n">
        <x:v>0</x:v>
      </x:c>
      <x:c r="K95" t="n">
        <x:v>0</x:v>
      </x:c>
      <x:c r="L95" t="n">
        <x:v>0</x:v>
      </x:c>
      <x:c r="M95" t="n">
        <x:v>1</x:v>
      </x:c>
      <x:c r="N95" t="n">
        <x:v>0</x:v>
      </x:c>
      <x:c r="O95" t="n">
        <x:v>0</x:v>
      </x:c>
      <x:c r="P95" t="n">
        <x:v>0</x:v>
      </x:c>
      <x:c r="Q95" t="n">
        <x:v>1</x:v>
      </x:c>
      <x:c r="R95" t="n">
        <x:v>0</x:v>
      </x:c>
      <x:c r="S95" t="n">
        <x:v>0</x:v>
      </x:c>
      <x:c r="T95" t="n">
        <x:v>0</x:v>
      </x:c>
      <x:c r="U95" t="n">
        <x:v>0</x:v>
      </x:c>
      <x:c r="V95" t="n">
        <x:v>0</x:v>
      </x:c>
      <x:c r="W95" t="n">
        <x:v>0</x:v>
      </x:c>
      <x:c r="X95" t="n">
        <x:v>0</x:v>
      </x:c>
      <x:c r="Y95" t="n">
        <x:v>0</x:v>
      </x:c>
      <x:c r="Z95" t="n">
        <x:v>0</x:v>
      </x:c>
    </x:row>
    <x:row r="96">
      <x:c r="A96" t="str">
        <x:v>gao2024_retrieval_augmented_generation</x:v>
      </x:c>
      <x:c r="B96" t="str">
        <x:v>2024</x:v>
      </x:c>
      <x:c r="C96" t="str">
        <x:v>Retrieval-Augmented Generation for Large Language Models: A Survey</x:v>
      </x:c>
      <x:c r="D96" t="str">
        <x:v>06_RAG_KG_Medical</x:v>
      </x:c>
      <x:c r="E96" t="n">
        <x:v>0</x:v>
      </x:c>
      <x:c r="F96" t="n">
        <x:v>0</x:v>
      </x:c>
      <x:c r="G96" t="n">
        <x:v>0</x:v>
      </x:c>
      <x:c r="H96" t="n">
        <x:v>0</x:v>
      </x:c>
      <x:c r="I96" t="n">
        <x:v>0</x:v>
      </x:c>
      <x:c r="J96" t="n">
        <x:v>0</x:v>
      </x:c>
      <x:c r="K96" t="n">
        <x:v>0</x:v>
      </x:c>
      <x:c r="L96" t="n">
        <x:v>0</x:v>
      </x:c>
      <x:c r="M96" t="n">
        <x:v>1</x:v>
      </x:c>
      <x:c r="N96" t="n">
        <x:v>0</x:v>
      </x:c>
      <x:c r="O96" t="n">
        <x:v>0</x:v>
      </x:c>
      <x:c r="P96" t="n">
        <x:v>0</x:v>
      </x:c>
      <x:c r="Q96" t="n">
        <x:v>1</x:v>
      </x:c>
      <x:c r="R96" t="n">
        <x:v>0</x:v>
      </x:c>
      <x:c r="S96" t="n">
        <x:v>0</x:v>
      </x:c>
      <x:c r="T96" t="n">
        <x:v>0</x:v>
      </x:c>
      <x:c r="U96" t="n">
        <x:v>0</x:v>
      </x:c>
      <x:c r="V96" t="n">
        <x:v>0</x:v>
      </x:c>
      <x:c r="W96" t="n">
        <x:v>0</x:v>
      </x:c>
      <x:c r="X96" t="n">
        <x:v>0</x:v>
      </x:c>
      <x:c r="Y96" t="n">
        <x:v>0</x:v>
      </x:c>
      <x:c r="Z96" t="n">
        <x:v>0</x:v>
      </x:c>
    </x:row>
    <x:row r="97">
      <x:c r="A97" t="str">
        <x:v>edge2024_local_global_graph</x:v>
      </x:c>
      <x:c r="B97" t="str">
        <x:v>2024</x:v>
      </x:c>
      <x:c r="C97" t="str">
        <x:v>From Local to Global: A Graph RAG Approach to Query-Focused Summarization</x:v>
      </x:c>
      <x:c r="D97" t="str">
        <x:v>06_RAG_KG_Medical</x:v>
      </x:c>
      <x:c r="E97" t="n">
        <x:v>0</x:v>
      </x:c>
      <x:c r="F97" t="n">
        <x:v>0</x:v>
      </x:c>
      <x:c r="G97" t="n">
        <x:v>0</x:v>
      </x:c>
      <x:c r="H97" t="n">
        <x:v>0</x:v>
      </x:c>
      <x:c r="I97" t="n">
        <x:v>0</x:v>
      </x:c>
      <x:c r="J97" t="n">
        <x:v>0</x:v>
      </x:c>
      <x:c r="K97" t="n">
        <x:v>0</x:v>
      </x:c>
      <x:c r="L97" t="n">
        <x:v>0</x:v>
      </x:c>
      <x:c r="M97" t="n">
        <x:v>1</x:v>
      </x:c>
      <x:c r="N97" t="n">
        <x:v>1</x:v>
      </x:c>
      <x:c r="O97" t="n">
        <x:v>0</x:v>
      </x:c>
      <x:c r="P97" t="n">
        <x:v>0</x:v>
      </x:c>
      <x:c r="Q97" t="n">
        <x:v>0</x:v>
      </x:c>
      <x:c r="R97" t="n">
        <x:v>0</x:v>
      </x:c>
      <x:c r="S97" t="n">
        <x:v>0</x:v>
      </x:c>
      <x:c r="T97" t="n">
        <x:v>0</x:v>
      </x:c>
      <x:c r="U97" t="n">
        <x:v>0</x:v>
      </x:c>
      <x:c r="V97" t="n">
        <x:v>0</x:v>
      </x:c>
      <x:c r="W97" t="n">
        <x:v>0</x:v>
      </x:c>
      <x:c r="X97" t="n">
        <x:v>0</x:v>
      </x:c>
      <x:c r="Y97" t="n">
        <x:v>0</x:v>
      </x:c>
      <x:c r="Z97" t="n">
        <x:v>0</x:v>
      </x:c>
    </x:row>
    <x:row r="98">
      <x:c r="A98" t="str">
        <x:v>xiong2024_benchmarking_retrieval_augmented</x:v>
      </x:c>
      <x:c r="B98" t="str">
        <x:v>2024</x:v>
      </x:c>
      <x:c r="C98" t="str">
        <x:v>Benchmarking Retrieval-Augmented Generation for Medicine</x:v>
      </x:c>
      <x:c r="D98" t="str">
        <x:v>06_RAG_KG_Medical</x:v>
      </x:c>
      <x:c r="E98" t="n">
        <x:v>0</x:v>
      </x:c>
      <x:c r="F98" t="n">
        <x:v>0</x:v>
      </x:c>
      <x:c r="G98" t="n">
        <x:v>0</x:v>
      </x:c>
      <x:c r="H98" t="n">
        <x:v>0</x:v>
      </x:c>
      <x:c r="I98" t="n">
        <x:v>0</x:v>
      </x:c>
      <x:c r="J98" t="n">
        <x:v>0</x:v>
      </x:c>
      <x:c r="K98" t="n">
        <x:v>0</x:v>
      </x:c>
      <x:c r="L98" t="n">
        <x:v>0</x:v>
      </x:c>
      <x:c r="M98" t="n">
        <x:v>1</x:v>
      </x:c>
      <x:c r="N98" t="n">
        <x:v>0</x:v>
      </x:c>
      <x:c r="O98" t="n">
        <x:v>0</x:v>
      </x:c>
      <x:c r="P98" t="n">
        <x:v>0</x:v>
      </x:c>
      <x:c r="Q98" t="n">
        <x:v>0</x:v>
      </x:c>
      <x:c r="R98" t="n">
        <x:v>0</x:v>
      </x:c>
      <x:c r="S98" t="n">
        <x:v>0</x:v>
      </x:c>
      <x:c r="T98" t="n">
        <x:v>0</x:v>
      </x:c>
      <x:c r="U98" t="n">
        <x:v>0</x:v>
      </x:c>
      <x:c r="V98" t="n">
        <x:v>0</x:v>
      </x:c>
      <x:c r="W98" t="n">
        <x:v>0</x:v>
      </x:c>
      <x:c r="X98" t="n">
        <x:v>0</x:v>
      </x:c>
      <x:c r="Y98" t="n">
        <x:v>0</x:v>
      </x:c>
      <x:c r="Z98" t="n">
        <x:v>0</x:v>
      </x:c>
    </x:row>
    <x:row r="99">
      <x:c r="A99" t="str">
        <x:v>singhal2023_language_encode_clinical</x:v>
      </x:c>
      <x:c r="B99" t="str">
        <x:v>2023</x:v>
      </x:c>
      <x:c r="C99" t="str">
        <x:v>Large Language Models Encode Clinical Knowledge</x:v>
      </x:c>
      <x:c r="D99" t="str">
        <x:v>06_RAG_KG_Medical</x:v>
      </x:c>
      <x:c r="E99" t="n">
        <x:v>0</x:v>
      </x:c>
      <x:c r="F99" t="n">
        <x:v>0</x:v>
      </x:c>
      <x:c r="G99" t="n">
        <x:v>0</x:v>
      </x:c>
      <x:c r="H99" t="n">
        <x:v>0</x:v>
      </x:c>
      <x:c r="I99" t="n">
        <x:v>0</x:v>
      </x:c>
      <x:c r="J99" t="n">
        <x:v>0</x:v>
      </x:c>
      <x:c r="K99" t="n">
        <x:v>0</x:v>
      </x:c>
      <x:c r="L99" t="n">
        <x:v>0</x:v>
      </x:c>
      <x:c r="M99" t="n">
        <x:v>0</x:v>
      </x:c>
      <x:c r="N99" t="n">
        <x:v>0</x:v>
      </x:c>
      <x:c r="O99" t="n">
        <x:v>0</x:v>
      </x:c>
      <x:c r="P99" t="n">
        <x:v>0</x:v>
      </x:c>
      <x:c r="Q99" t="n">
        <x:v>0</x:v>
      </x:c>
      <x:c r="R99" t="n">
        <x:v>0</x:v>
      </x:c>
      <x:c r="S99" t="n">
        <x:v>0</x:v>
      </x:c>
      <x:c r="T99" t="n">
        <x:v>0</x:v>
      </x:c>
      <x:c r="U99" t="n">
        <x:v>0</x:v>
      </x:c>
      <x:c r="V99" t="n">
        <x:v>0</x:v>
      </x:c>
      <x:c r="W99" t="n">
        <x:v>0</x:v>
      </x:c>
      <x:c r="X99" t="n">
        <x:v>0</x:v>
      </x:c>
      <x:c r="Y99" t="n">
        <x:v>0</x:v>
      </x:c>
      <x:c r="Z99" t="n">
        <x:v>0</x:v>
      </x:c>
    </x:row>
    <x:row r="100">
      <x:c r="A100" t="str">
        <x:v>singhal2025_expert_level_medical</x:v>
      </x:c>
      <x:c r="B100" t="str">
        <x:v>2025</x:v>
      </x:c>
      <x:c r="C100" t="str">
        <x:v>Toward Expert-Level Medical Question Answering with Large Language Models</x:v>
      </x:c>
      <x:c r="D100" t="str">
        <x:v>06_RAG_KG_Medical</x:v>
      </x:c>
      <x:c r="E100" t="n">
        <x:v>0</x:v>
      </x:c>
      <x:c r="F100" t="n">
        <x:v>0</x:v>
      </x:c>
      <x:c r="G100" t="n">
        <x:v>0</x:v>
      </x:c>
      <x:c r="H100" t="n">
        <x:v>0</x:v>
      </x:c>
      <x:c r="I100" t="n">
        <x:v>0</x:v>
      </x:c>
      <x:c r="J100" t="n">
        <x:v>0</x:v>
      </x:c>
      <x:c r="K100" t="n">
        <x:v>0</x:v>
      </x:c>
      <x:c r="L100" t="n">
        <x:v>0</x:v>
      </x:c>
      <x:c r="M100" t="n">
        <x:v>0</x:v>
      </x:c>
      <x:c r="N100" t="n">
        <x:v>0</x:v>
      </x:c>
      <x:c r="O100" t="n">
        <x:v>0</x:v>
      </x:c>
      <x:c r="P100" t="n">
        <x:v>0</x:v>
      </x:c>
      <x:c r="Q100" t="n">
        <x:v>0</x:v>
      </x:c>
      <x:c r="R100" t="n">
        <x:v>0</x:v>
      </x:c>
      <x:c r="S100" t="n">
        <x:v>0</x:v>
      </x:c>
      <x:c r="T100" t="n">
        <x:v>0</x:v>
      </x:c>
      <x:c r="U100" t="n">
        <x:v>0</x:v>
      </x:c>
      <x:c r="V100" t="n">
        <x:v>0</x:v>
      </x:c>
      <x:c r="W100" t="n">
        <x:v>0</x:v>
      </x:c>
      <x:c r="X100" t="n">
        <x:v>0</x:v>
      </x:c>
      <x:c r="Y100" t="n">
        <x:v>0</x:v>
      </x:c>
      <x:c r="Z100" t="n">
        <x:v>0</x:v>
      </x:c>
    </x:row>
    <x:row r="101">
      <x:c r="A101" t="str">
        <x:v>jin2019_pubmedqa_biomedical_research</x:v>
      </x:c>
      <x:c r="B101" t="str">
        <x:v>2019</x:v>
      </x:c>
      <x:c r="C101" t="str">
        <x:v>PubMedQA: A Dataset for Biomedical Research Question Answering</x:v>
      </x:c>
      <x:c r="D101" t="str">
        <x:v>06_RAG_KG_Medical</x:v>
      </x:c>
      <x:c r="E101" t="n">
        <x:v>0</x:v>
      </x:c>
      <x:c r="F101" t="n">
        <x:v>0</x:v>
      </x:c>
      <x:c r="G101" t="n">
        <x:v>0</x:v>
      </x:c>
      <x:c r="H101" t="n">
        <x:v>0</x:v>
      </x:c>
      <x:c r="I101" t="n">
        <x:v>0</x:v>
      </x:c>
      <x:c r="J101" t="n">
        <x:v>0</x:v>
      </x:c>
      <x:c r="K101" t="n">
        <x:v>0</x:v>
      </x:c>
      <x:c r="L101" t="n">
        <x:v>0</x:v>
      </x:c>
      <x:c r="M101" t="n">
        <x:v>0</x:v>
      </x:c>
      <x:c r="N101" t="n">
        <x:v>0</x:v>
      </x:c>
      <x:c r="O101" t="n">
        <x:v>0</x:v>
      </x:c>
      <x:c r="P101" t="n">
        <x:v>0</x:v>
      </x:c>
      <x:c r="Q101" t="n">
        <x:v>0</x:v>
      </x:c>
      <x:c r="R101" t="n">
        <x:v>0</x:v>
      </x:c>
      <x:c r="S101" t="n">
        <x:v>0</x:v>
      </x:c>
      <x:c r="T101" t="n">
        <x:v>0</x:v>
      </x:c>
      <x:c r="U101" t="n">
        <x:v>0</x:v>
      </x:c>
      <x:c r="V101" t="n">
        <x:v>1</x:v>
      </x:c>
      <x:c r="W101" t="n">
        <x:v>0</x:v>
      </x:c>
      <x:c r="X101" t="n">
        <x:v>0</x:v>
      </x:c>
      <x:c r="Y101" t="n">
        <x:v>0</x:v>
      </x:c>
      <x:c r="Z101" t="n">
        <x:v>0</x:v>
      </x:c>
    </x:row>
    <x:row r="102">
      <x:c r="A102" t="str">
        <x:v>luo2022_biogpt_generative_pre</x:v>
      </x:c>
      <x:c r="B102" t="str">
        <x:v>2022</x:v>
      </x:c>
      <x:c r="C102" t="str">
        <x:v>BioGPT: Generative Pre-trained Transformer for Biomedical Text Generation and Mining</x:v>
      </x:c>
      <x:c r="D102" t="str">
        <x:v>06_RAG_KG_Medical</x:v>
      </x:c>
      <x:c r="E102" t="n">
        <x:v>0</x:v>
      </x:c>
      <x:c r="F102" t="n">
        <x:v>0</x:v>
      </x:c>
      <x:c r="G102" t="n">
        <x:v>0</x:v>
      </x:c>
      <x:c r="H102" t="n">
        <x:v>0</x:v>
      </x:c>
      <x:c r="I102" t="n">
        <x:v>0</x:v>
      </x:c>
      <x:c r="J102" t="n">
        <x:v>0</x:v>
      </x:c>
      <x:c r="K102" t="n">
        <x:v>0</x:v>
      </x:c>
      <x:c r="L102" t="n">
        <x:v>0</x:v>
      </x:c>
      <x:c r="M102" t="n">
        <x:v>0</x:v>
      </x:c>
      <x:c r="N102" t="n">
        <x:v>0</x:v>
      </x:c>
      <x:c r="O102" t="n">
        <x:v>0</x:v>
      </x:c>
      <x:c r="P102" t="n">
        <x:v>0</x:v>
      </x:c>
      <x:c r="Q102" t="n">
        <x:v>0</x:v>
      </x:c>
      <x:c r="R102" t="n">
        <x:v>0</x:v>
      </x:c>
      <x:c r="S102" t="n">
        <x:v>0</x:v>
      </x:c>
      <x:c r="T102" t="n">
        <x:v>0</x:v>
      </x:c>
      <x:c r="U102" t="n">
        <x:v>0</x:v>
      </x:c>
      <x:c r="V102" t="n">
        <x:v>0</x:v>
      </x:c>
      <x:c r="W102" t="n">
        <x:v>0</x:v>
      </x:c>
      <x:c r="X102" t="n">
        <x:v>0</x:v>
      </x:c>
      <x:c r="Y102" t="n">
        <x:v>0</x:v>
      </x:c>
      <x:c r="Z102" t="n">
        <x:v>0</x:v>
      </x:c>
    </x:row>
    <x:row r="103">
      <x:c r="A103" t="str">
        <x:v>lee2020_biobert_pre_trained</x:v>
      </x:c>
      <x:c r="B103" t="str">
        <x:v>2020</x:v>
      </x:c>
      <x:c r="C103" t="str">
        <x:v>BioBERT: A Pre-trained Biomedical Language Representation Model for Biomedical Text Mining</x:v>
      </x:c>
      <x:c r="D103" t="str">
        <x:v>06_RAG_KG_Medical</x:v>
      </x:c>
      <x:c r="E103" t="n">
        <x:v>0</x:v>
      </x:c>
      <x:c r="F103" t="n">
        <x:v>0</x:v>
      </x:c>
      <x:c r="G103" t="n">
        <x:v>0</x:v>
      </x:c>
      <x:c r="H103" t="n">
        <x:v>0</x:v>
      </x:c>
      <x:c r="I103" t="n">
        <x:v>0</x:v>
      </x:c>
      <x:c r="J103" t="n">
        <x:v>0</x:v>
      </x:c>
      <x:c r="K103" t="n">
        <x:v>0</x:v>
      </x:c>
      <x:c r="L103" t="n">
        <x:v>0</x:v>
      </x:c>
      <x:c r="M103" t="n">
        <x:v>0</x:v>
      </x:c>
      <x:c r="N103" t="n">
        <x:v>0</x:v>
      </x:c>
      <x:c r="O103" t="n">
        <x:v>0</x:v>
      </x:c>
      <x:c r="P103" t="n">
        <x:v>0</x:v>
      </x:c>
      <x:c r="Q103" t="n">
        <x:v>0</x:v>
      </x:c>
      <x:c r="R103" t="n">
        <x:v>0</x:v>
      </x:c>
      <x:c r="S103" t="n">
        <x:v>0</x:v>
      </x:c>
      <x:c r="T103" t="n">
        <x:v>0</x:v>
      </x:c>
      <x:c r="U103" t="n">
        <x:v>0</x:v>
      </x:c>
      <x:c r="V103" t="n">
        <x:v>0</x:v>
      </x:c>
      <x:c r="W103" t="n">
        <x:v>0</x:v>
      </x:c>
      <x:c r="X103" t="n">
        <x:v>0</x:v>
      </x:c>
      <x:c r="Y103" t="n">
        <x:v>0</x:v>
      </x:c>
      <x:c r="Z103" t="n">
        <x:v>0</x:v>
      </x:c>
    </x:row>
    <x:row r="104">
      <x:c r="A104" t="str">
        <x:v>alsentzer2019_publicly_available_clinical</x:v>
      </x:c>
      <x:c r="B104" t="str">
        <x:v>2019</x:v>
      </x:c>
      <x:c r="C104" t="str">
        <x:v>Publicly Available Clinical BERT Embeddings</x:v>
      </x:c>
      <x:c r="D104" t="str">
        <x:v>06_RAG_KG_Medical</x:v>
      </x:c>
      <x:c r="E104" t="n">
        <x:v>0</x:v>
      </x:c>
      <x:c r="F104" t="n">
        <x:v>0</x:v>
      </x:c>
      <x:c r="G104" t="n">
        <x:v>0</x:v>
      </x:c>
      <x:c r="H104" t="n">
        <x:v>0</x:v>
      </x:c>
      <x:c r="I104" t="n">
        <x:v>0</x:v>
      </x:c>
      <x:c r="J104" t="n">
        <x:v>0</x:v>
      </x:c>
      <x:c r="K104" t="n">
        <x:v>0</x:v>
      </x:c>
      <x:c r="L104" t="n">
        <x:v>0</x:v>
      </x:c>
      <x:c r="M104" t="n">
        <x:v>0</x:v>
      </x:c>
      <x:c r="N104" t="n">
        <x:v>0</x:v>
      </x:c>
      <x:c r="O104" t="n">
        <x:v>0</x:v>
      </x:c>
      <x:c r="P104" t="n">
        <x:v>0</x:v>
      </x:c>
      <x:c r="Q104" t="n">
        <x:v>0</x:v>
      </x:c>
      <x:c r="R104" t="n">
        <x:v>0</x:v>
      </x:c>
      <x:c r="S104" t="n">
        <x:v>0</x:v>
      </x:c>
      <x:c r="T104" t="n">
        <x:v>0</x:v>
      </x:c>
      <x:c r="U104" t="n">
        <x:v>0</x:v>
      </x:c>
      <x:c r="V104" t="n">
        <x:v>0</x:v>
      </x:c>
      <x:c r="W104" t="n">
        <x:v>0</x:v>
      </x:c>
      <x:c r="X104" t="n">
        <x:v>0</x:v>
      </x:c>
      <x:c r="Y104" t="n">
        <x:v>0</x:v>
      </x:c>
      <x:c r="Z104" t="n">
        <x:v>0</x:v>
      </x:c>
    </x:row>
    <x:row r="105">
      <x:c r="A105" t="str">
        <x:v>peng2019_transfer_learning_biomedical</x:v>
      </x:c>
      <x:c r="B105" t="str">
        <x:v>2019</x:v>
      </x:c>
      <x:c r="C105" t="str">
        <x:v>Transfer Learning in Biomedical Natural Language Processing: An Evaluation of BERT and ELMo on Ten Benchmarking Datasets</x:v>
      </x:c>
      <x:c r="D105" t="str">
        <x:v>06_RAG_KG_Medical</x:v>
      </x:c>
      <x:c r="E105" t="n">
        <x:v>0</x:v>
      </x:c>
      <x:c r="F105" t="n">
        <x:v>0</x:v>
      </x:c>
      <x:c r="G105" t="n">
        <x:v>0</x:v>
      </x:c>
      <x:c r="H105" t="n">
        <x:v>0</x:v>
      </x:c>
      <x:c r="I105" t="n">
        <x:v>0</x:v>
      </x:c>
      <x:c r="J105" t="n">
        <x:v>0</x:v>
      </x:c>
      <x:c r="K105" t="n">
        <x:v>0</x:v>
      </x:c>
      <x:c r="L105" t="n">
        <x:v>0</x:v>
      </x:c>
      <x:c r="M105" t="n">
        <x:v>0</x:v>
      </x:c>
      <x:c r="N105" t="n">
        <x:v>0</x:v>
      </x:c>
      <x:c r="O105" t="n">
        <x:v>0</x:v>
      </x:c>
      <x:c r="P105" t="n">
        <x:v>0</x:v>
      </x:c>
      <x:c r="Q105" t="n">
        <x:v>0</x:v>
      </x:c>
      <x:c r="R105" t="n">
        <x:v>0</x:v>
      </x:c>
      <x:c r="S105" t="n">
        <x:v>0</x:v>
      </x:c>
      <x:c r="T105" t="n">
        <x:v>0</x:v>
      </x:c>
      <x:c r="U105" t="n">
        <x:v>0</x:v>
      </x:c>
      <x:c r="V105" t="n">
        <x:v>0</x:v>
      </x:c>
      <x:c r="W105" t="n">
        <x:v>0</x:v>
      </x:c>
      <x:c r="X105" t="n">
        <x:v>0</x:v>
      </x:c>
      <x:c r="Y105" t="n">
        <x:v>0</x:v>
      </x:c>
      <x:c r="Z105" t="n">
        <x:v>0</x:v>
      </x:c>
    </x:row>
    <x:row r="106">
      <x:c r="A106" t="str">
        <x:v>bodenreider2004_unified_medical_language</x:v>
      </x:c>
      <x:c r="B106" t="str">
        <x:v>2004</x:v>
      </x:c>
      <x:c r="C106" t="str">
        <x:v>The Unified Medical Language System (UMLS): Integrating Biomedical Terminology</x:v>
      </x:c>
      <x:c r="D106" t="str">
        <x:v>06_RAG_KG_Medical</x:v>
      </x:c>
      <x:c r="E106" t="n">
        <x:v>0</x:v>
      </x:c>
      <x:c r="F106" t="n">
        <x:v>0</x:v>
      </x:c>
      <x:c r="G106" t="n">
        <x:v>0</x:v>
      </x:c>
      <x:c r="H106" t="n">
        <x:v>0</x:v>
      </x:c>
      <x:c r="I106" t="n">
        <x:v>0</x:v>
      </x:c>
      <x:c r="J106" t="n">
        <x:v>0</x:v>
      </x:c>
      <x:c r="K106" t="n">
        <x:v>0</x:v>
      </x:c>
      <x:c r="L106" t="n">
        <x:v>0</x:v>
      </x:c>
      <x:c r="M106" t="n">
        <x:v>0</x:v>
      </x:c>
      <x:c r="N106" t="n">
        <x:v>0</x:v>
      </x:c>
      <x:c r="O106" t="n">
        <x:v>0</x:v>
      </x:c>
      <x:c r="P106" t="n">
        <x:v>0</x:v>
      </x:c>
      <x:c r="Q106" t="n">
        <x:v>0</x:v>
      </x:c>
      <x:c r="R106" t="n">
        <x:v>0</x:v>
      </x:c>
      <x:c r="S106" t="n">
        <x:v>0</x:v>
      </x:c>
      <x:c r="T106" t="n">
        <x:v>0</x:v>
      </x:c>
      <x:c r="U106" t="n">
        <x:v>0</x:v>
      </x:c>
      <x:c r="V106" t="n">
        <x:v>0</x:v>
      </x:c>
      <x:c r="W106" t="n">
        <x:v>0</x:v>
      </x:c>
      <x:c r="X106" t="n">
        <x:v>0</x:v>
      </x:c>
      <x:c r="Y106" t="n">
        <x:v>0</x:v>
      </x:c>
      <x:c r="Z106" t="n">
        <x:v>0</x:v>
      </x:c>
    </x:row>
    <x:row r="107">
      <x:c r="A107" t="str">
        <x:v>lindberg1993_unified_medical_language</x:v>
      </x:c>
      <x:c r="B107" t="str">
        <x:v>1993</x:v>
      </x:c>
      <x:c r="C107" t="str">
        <x:v>The Unified Medical Language System</x:v>
      </x:c>
      <x:c r="D107" t="str">
        <x:v>06_RAG_KG_Medical</x:v>
      </x:c>
      <x:c r="E107" t="n">
        <x:v>0</x:v>
      </x:c>
      <x:c r="F107" t="n">
        <x:v>0</x:v>
      </x:c>
      <x:c r="G107" t="n">
        <x:v>0</x:v>
      </x:c>
      <x:c r="H107" t="n">
        <x:v>0</x:v>
      </x:c>
      <x:c r="I107" t="n">
        <x:v>0</x:v>
      </x:c>
      <x:c r="J107" t="n">
        <x:v>0</x:v>
      </x:c>
      <x:c r="K107" t="n">
        <x:v>0</x:v>
      </x:c>
      <x:c r="L107" t="n">
        <x:v>0</x:v>
      </x:c>
      <x:c r="M107" t="n">
        <x:v>0</x:v>
      </x:c>
      <x:c r="N107" t="n">
        <x:v>0</x:v>
      </x:c>
      <x:c r="O107" t="n">
        <x:v>0</x:v>
      </x:c>
      <x:c r="P107" t="n">
        <x:v>0</x:v>
      </x:c>
      <x:c r="Q107" t="n">
        <x:v>0</x:v>
      </x:c>
      <x:c r="R107" t="n">
        <x:v>0</x:v>
      </x:c>
      <x:c r="S107" t="n">
        <x:v>0</x:v>
      </x:c>
      <x:c r="T107" t="n">
        <x:v>0</x:v>
      </x:c>
      <x:c r="U107" t="n">
        <x:v>0</x:v>
      </x:c>
      <x:c r="V107" t="n">
        <x:v>0</x:v>
      </x:c>
      <x:c r="W107" t="n">
        <x:v>0</x:v>
      </x:c>
      <x:c r="X107" t="n">
        <x:v>0</x:v>
      </x:c>
      <x:c r="Y107" t="n">
        <x:v>0</x:v>
      </x:c>
      <x:c r="Z107" t="n">
        <x:v>0</x:v>
      </x:c>
    </x:row>
    <x:row r="108">
      <x:c r="A108" t="str">
        <x:v>zeng2006_exploring_developing_consumer</x:v>
      </x:c>
      <x:c r="B108" t="str">
        <x:v>2006</x:v>
      </x:c>
      <x:c r="C108" t="str">
        <x:v>Exploring and Developing Consumer Health Vocabularies</x:v>
      </x:c>
      <x:c r="D108" t="str">
        <x:v>06_RAG_KG_Medical</x:v>
      </x:c>
      <x:c r="E108" t="n">
        <x:v>0</x:v>
      </x:c>
      <x:c r="F108" t="n">
        <x:v>0</x:v>
      </x:c>
      <x:c r="G108" t="n">
        <x:v>0</x:v>
      </x:c>
      <x:c r="H108" t="n">
        <x:v>0</x:v>
      </x:c>
      <x:c r="I108" t="n">
        <x:v>0</x:v>
      </x:c>
      <x:c r="J108" t="n">
        <x:v>0</x:v>
      </x:c>
      <x:c r="K108" t="n">
        <x:v>0</x:v>
      </x:c>
      <x:c r="L108" t="n">
        <x:v>0</x:v>
      </x:c>
      <x:c r="M108" t="n">
        <x:v>0</x:v>
      </x:c>
      <x:c r="N108" t="n">
        <x:v>0</x:v>
      </x:c>
      <x:c r="O108" t="n">
        <x:v>0</x:v>
      </x:c>
      <x:c r="P108" t="n">
        <x:v>0</x:v>
      </x:c>
      <x:c r="Q108" t="n">
        <x:v>0</x:v>
      </x:c>
      <x:c r="R108" t="n">
        <x:v>0</x:v>
      </x:c>
      <x:c r="S108" t="n">
        <x:v>0</x:v>
      </x:c>
      <x:c r="T108" t="n">
        <x:v>0</x:v>
      </x:c>
      <x:c r="U108" t="n">
        <x:v>0</x:v>
      </x:c>
      <x:c r="V108" t="n">
        <x:v>0</x:v>
      </x:c>
      <x:c r="W108" t="n">
        <x:v>0</x:v>
      </x:c>
      <x:c r="X108" t="n">
        <x:v>0</x:v>
      </x:c>
      <x:c r="Y108" t="n">
        <x:v>0</x:v>
      </x:c>
      <x:c r="Z108" t="n">
        <x:v>0</x:v>
      </x:c>
    </x:row>
    <x:row r="109">
      <x:c r="A109" t="str">
        <x:v>saggion2017_text_simplification</x:v>
      </x:c>
      <x:c r="B109" t="str">
        <x:v>2017</x:v>
      </x:c>
      <x:c r="C109" t="str">
        <x:v>Automatic Text Simplification</x:v>
      </x:c>
      <x:c r="D109" t="str">
        <x:v>02_Adjacent_Multilingual_TS</x:v>
      </x:c>
      <x:c r="E109" t="n">
        <x:v>0</x:v>
      </x:c>
      <x:c r="F109" t="n">
        <x:v>0</x:v>
      </x:c>
      <x:c r="G109" t="n">
        <x:v>0</x:v>
      </x:c>
      <x:c r="H109" t="n">
        <x:v>0</x:v>
      </x:c>
      <x:c r="I109" t="n">
        <x:v>0</x:v>
      </x:c>
      <x:c r="J109" t="n">
        <x:v>0</x:v>
      </x:c>
      <x:c r="K109" t="n">
        <x:v>0</x:v>
      </x:c>
      <x:c r="L109" t="n">
        <x:v>0</x:v>
      </x:c>
      <x:c r="M109" t="n">
        <x:v>0</x:v>
      </x:c>
      <x:c r="N109" t="n">
        <x:v>0</x:v>
      </x:c>
      <x:c r="O109" t="n">
        <x:v>0</x:v>
      </x:c>
      <x:c r="P109" t="n">
        <x:v>0</x:v>
      </x:c>
      <x:c r="Q109" t="n">
        <x:v>0</x:v>
      </x:c>
      <x:c r="R109" t="n">
        <x:v>0</x:v>
      </x:c>
      <x:c r="S109" t="n">
        <x:v>0</x:v>
      </x:c>
      <x:c r="T109" t="n">
        <x:v>0</x:v>
      </x:c>
      <x:c r="U109" t="n">
        <x:v>0</x:v>
      </x:c>
      <x:c r="V109" t="n">
        <x:v>0</x:v>
      </x:c>
      <x:c r="W109" t="n">
        <x:v>0</x:v>
      </x:c>
      <x:c r="X109" t="n">
        <x:v>0</x:v>
      </x:c>
      <x:c r="Y109" t="n">
        <x:v>0</x:v>
      </x:c>
      <x:c r="Z109" t="n">
        <x:v>0</x:v>
      </x:c>
    </x:row>
    <x:row r="110">
      <x:c r="A110" t="str">
        <x:v>alvamanchego2020_easse_easier_sentence</x:v>
      </x:c>
      <x:c r="B110" t="str">
        <x:v>2020</x:v>
      </x:c>
      <x:c r="C110" t="str">
        <x:v>EASSE: Easier Automatic Sentence Simplification Evaluation</x:v>
      </x:c>
      <x:c r="D110" t="str">
        <x:v>02_Adjacent_Multilingual_TS</x:v>
      </x:c>
      <x:c r="E110" t="n">
        <x:v>0</x:v>
      </x:c>
      <x:c r="F110" t="n">
        <x:v>0</x:v>
      </x:c>
      <x:c r="G110" t="n">
        <x:v>0</x:v>
      </x:c>
      <x:c r="H110" t="n">
        <x:v>0</x:v>
      </x:c>
      <x:c r="I110" t="n">
        <x:v>0</x:v>
      </x:c>
      <x:c r="J110" t="n">
        <x:v>0</x:v>
      </x:c>
      <x:c r="K110" t="n">
        <x:v>0</x:v>
      </x:c>
      <x:c r="L110" t="n">
        <x:v>0</x:v>
      </x:c>
      <x:c r="M110" t="n">
        <x:v>0</x:v>
      </x:c>
      <x:c r="N110" t="n">
        <x:v>0</x:v>
      </x:c>
      <x:c r="O110" t="n">
        <x:v>0</x:v>
      </x:c>
      <x:c r="P110" t="n">
        <x:v>0</x:v>
      </x:c>
      <x:c r="Q110" t="n">
        <x:v>0</x:v>
      </x:c>
      <x:c r="R110" t="n">
        <x:v>0</x:v>
      </x:c>
      <x:c r="S110" t="n">
        <x:v>0</x:v>
      </x:c>
      <x:c r="T110" t="n">
        <x:v>0</x:v>
      </x:c>
      <x:c r="U110" t="n">
        <x:v>0</x:v>
      </x:c>
      <x:c r="V110" t="n">
        <x:v>0</x:v>
      </x:c>
      <x:c r="W110" t="n">
        <x:v>0</x:v>
      </x:c>
      <x:c r="X110" t="n">
        <x:v>0</x:v>
      </x:c>
      <x:c r="Y110" t="n">
        <x:v>0</x:v>
      </x:c>
      <x:c r="Z110" t="n">
        <x:v>0</x:v>
      </x:c>
    </x:row>
    <x:row r="111">
      <x:c r="A111" t="str">
        <x:v>xu2016_optimizing_statistical_machine</x:v>
      </x:c>
      <x:c r="B111" t="str">
        <x:v>2016</x:v>
      </x:c>
      <x:c r="C111" t="str">
        <x:v>Optimizing Statistical Machine Translation for Text Simplification</x:v>
      </x:c>
      <x:c r="D111" t="str">
        <x:v>02_Adjacent_Multilingual_TS</x:v>
      </x:c>
      <x:c r="E111" t="n">
        <x:v>0</x:v>
      </x:c>
      <x:c r="F111" t="n">
        <x:v>0</x:v>
      </x:c>
      <x:c r="G111" t="n">
        <x:v>0</x:v>
      </x:c>
      <x:c r="H111" t="n">
        <x:v>0</x:v>
      </x:c>
      <x:c r="I111" t="n">
        <x:v>0</x:v>
      </x:c>
      <x:c r="J111" t="n">
        <x:v>0</x:v>
      </x:c>
      <x:c r="K111" t="n">
        <x:v>0</x:v>
      </x:c>
      <x:c r="L111" t="n">
        <x:v>0</x:v>
      </x:c>
      <x:c r="M111" t="n">
        <x:v>0</x:v>
      </x:c>
      <x:c r="N111" t="n">
        <x:v>0</x:v>
      </x:c>
      <x:c r="O111" t="n">
        <x:v>0</x:v>
      </x:c>
      <x:c r="P111" t="n">
        <x:v>0</x:v>
      </x:c>
      <x:c r="Q111" t="n">
        <x:v>0</x:v>
      </x:c>
      <x:c r="R111" t="n">
        <x:v>0</x:v>
      </x:c>
      <x:c r="S111" t="n">
        <x:v>0</x:v>
      </x:c>
      <x:c r="T111" t="n">
        <x:v>0</x:v>
      </x:c>
      <x:c r="U111" t="n">
        <x:v>0</x:v>
      </x:c>
      <x:c r="V111" t="n">
        <x:v>0</x:v>
      </x:c>
      <x:c r="W111" t="n">
        <x:v>0</x:v>
      </x:c>
      <x:c r="X111" t="n">
        <x:v>0</x:v>
      </x:c>
      <x:c r="Y111" t="n">
        <x:v>0</x:v>
      </x:c>
      <x:c r="Z111" t="n">
        <x:v>0</x:v>
      </x:c>
    </x:row>
    <x:row r="112">
      <x:c r="A112" t="str">
        <x:v>zhang2017_sentence_simplification_deep</x:v>
      </x:c>
      <x:c r="B112" t="str">
        <x:v>2017</x:v>
      </x:c>
      <x:c r="C112" t="str">
        <x:v>Sentence Simplification with Deep Reinforcement Learning</x:v>
      </x:c>
      <x:c r="D112" t="str">
        <x:v>02_Adjacent_Multilingual_TS</x:v>
      </x:c>
      <x:c r="E112" t="n">
        <x:v>0</x:v>
      </x:c>
      <x:c r="F112" t="n">
        <x:v>0</x:v>
      </x:c>
      <x:c r="G112" t="n">
        <x:v>0</x:v>
      </x:c>
      <x:c r="H112" t="n">
        <x:v>0</x:v>
      </x:c>
      <x:c r="I112" t="n">
        <x:v>0</x:v>
      </x:c>
      <x:c r="J112" t="n">
        <x:v>0</x:v>
      </x:c>
      <x:c r="K112" t="n">
        <x:v>0</x:v>
      </x:c>
      <x:c r="L112" t="n">
        <x:v>0</x:v>
      </x:c>
      <x:c r="M112" t="n">
        <x:v>0</x:v>
      </x:c>
      <x:c r="N112" t="n">
        <x:v>0</x:v>
      </x:c>
      <x:c r="O112" t="n">
        <x:v>0</x:v>
      </x:c>
      <x:c r="P112" t="n">
        <x:v>0</x:v>
      </x:c>
      <x:c r="Q112" t="n">
        <x:v>0</x:v>
      </x:c>
      <x:c r="R112" t="n">
        <x:v>0</x:v>
      </x:c>
      <x:c r="S112" t="n">
        <x:v>0</x:v>
      </x:c>
      <x:c r="T112" t="n">
        <x:v>0</x:v>
      </x:c>
      <x:c r="U112" t="n">
        <x:v>0</x:v>
      </x:c>
      <x:c r="V112" t="n">
        <x:v>0</x:v>
      </x:c>
      <x:c r="W112" t="n">
        <x:v>0</x:v>
      </x:c>
      <x:c r="X112" t="n">
        <x:v>0</x:v>
      </x:c>
      <x:c r="Y112" t="n">
        <x:v>0</x:v>
      </x:c>
      <x:c r="Z112" t="n">
        <x:v>0</x:v>
      </x:c>
    </x:row>
    <x:row r="113">
      <x:c r="A113" t="str">
        <x:v>nisioi2017_exploring_neural_text</x:v>
      </x:c>
      <x:c r="B113" t="str">
        <x:v>2017</x:v>
      </x:c>
      <x:c r="C113" t="str">
        <x:v>Exploring Neural Text Simplification Models</x:v>
      </x:c>
      <x:c r="D113" t="str">
        <x:v>02_Adjacent_Multilingual_TS</x:v>
      </x:c>
      <x:c r="E113" t="n">
        <x:v>0</x:v>
      </x:c>
      <x:c r="F113" t="n">
        <x:v>0</x:v>
      </x:c>
      <x:c r="G113" t="n">
        <x:v>0</x:v>
      </x:c>
      <x:c r="H113" t="n">
        <x:v>0</x:v>
      </x:c>
      <x:c r="I113" t="n">
        <x:v>0</x:v>
      </x:c>
      <x:c r="J113" t="n">
        <x:v>0</x:v>
      </x:c>
      <x:c r="K113" t="n">
        <x:v>0</x:v>
      </x:c>
      <x:c r="L113" t="n">
        <x:v>0</x:v>
      </x:c>
      <x:c r="M113" t="n">
        <x:v>0</x:v>
      </x:c>
      <x:c r="N113" t="n">
        <x:v>0</x:v>
      </x:c>
      <x:c r="O113" t="n">
        <x:v>0</x:v>
      </x:c>
      <x:c r="P113" t="n">
        <x:v>0</x:v>
      </x:c>
      <x:c r="Q113" t="n">
        <x:v>0</x:v>
      </x:c>
      <x:c r="R113" t="n">
        <x:v>0</x:v>
      </x:c>
      <x:c r="S113" t="n">
        <x:v>0</x:v>
      </x:c>
      <x:c r="T113" t="n">
        <x:v>0</x:v>
      </x:c>
      <x:c r="U113" t="n">
        <x:v>0</x:v>
      </x:c>
      <x:c r="V113" t="n">
        <x:v>0</x:v>
      </x:c>
      <x:c r="W113" t="n">
        <x:v>0</x:v>
      </x:c>
      <x:c r="X113" t="n">
        <x:v>0</x:v>
      </x:c>
      <x:c r="Y113" t="n">
        <x:v>0</x:v>
      </x:c>
      <x:c r="Z113" t="n">
        <x:v>0</x:v>
      </x:c>
    </x:row>
    <x:row r="114">
      <x:c r="A114" t="str">
        <x:v>martin2020_muss_multilingual_unsupervised</x:v>
      </x:c>
      <x:c r="B114" t="str">
        <x:v>2020</x:v>
      </x:c>
      <x:c r="C114" t="str">
        <x:v>MUSS: Multilingual Unsupervised Sentence Simplification by Mining Paraphrases</x:v>
      </x:c>
      <x:c r="D114" t="str">
        <x:v>02_Adjacent_Multilingual_TS</x:v>
      </x:c>
      <x:c r="E114" t="n">
        <x:v>0</x:v>
      </x:c>
      <x:c r="F114" t="n">
        <x:v>0</x:v>
      </x:c>
      <x:c r="G114" t="n">
        <x:v>0</x:v>
      </x:c>
      <x:c r="H114" t="n">
        <x:v>0</x:v>
      </x:c>
      <x:c r="I114" t="n">
        <x:v>1</x:v>
      </x:c>
      <x:c r="J114" t="n">
        <x:v>0</x:v>
      </x:c>
      <x:c r="K114" t="n">
        <x:v>0</x:v>
      </x:c>
      <x:c r="L114" t="n">
        <x:v>0</x:v>
      </x:c>
      <x:c r="M114" t="n">
        <x:v>0</x:v>
      </x:c>
      <x:c r="N114" t="n">
        <x:v>0</x:v>
      </x:c>
      <x:c r="O114" t="n">
        <x:v>0</x:v>
      </x:c>
      <x:c r="P114" t="n">
        <x:v>0</x:v>
      </x:c>
      <x:c r="Q114" t="n">
        <x:v>0</x:v>
      </x:c>
      <x:c r="R114" t="n">
        <x:v>0</x:v>
      </x:c>
      <x:c r="S114" t="n">
        <x:v>0</x:v>
      </x:c>
      <x:c r="T114" t="n">
        <x:v>0</x:v>
      </x:c>
      <x:c r="U114" t="n">
        <x:v>0</x:v>
      </x:c>
      <x:c r="V114" t="n">
        <x:v>0</x:v>
      </x:c>
      <x:c r="W114" t="n">
        <x:v>0</x:v>
      </x:c>
      <x:c r="X114" t="n">
        <x:v>0</x:v>
      </x:c>
      <x:c r="Y114" t="n">
        <x:v>0</x:v>
      </x:c>
      <x:c r="Z114" t="n">
        <x:v>0</x:v>
      </x:c>
    </x:row>
    <x:row r="115">
      <x:c r="A115" t="str">
        <x:v>martin2022_muss_multilingual_simplification</x:v>
      </x:c>
      <x:c r="B115" t="str">
        <x:v>2022</x:v>
      </x:c>
      <x:c r="C115" t="str">
        <x:v>MUSS: Multilingual Simplification by Encoding Simplification Operations</x:v>
      </x:c>
      <x:c r="D115" t="str">
        <x:v>02_Adjacent_Multilingual_TS</x:v>
      </x:c>
      <x:c r="E115" t="n">
        <x:v>0</x:v>
      </x:c>
      <x:c r="F115" t="n">
        <x:v>0</x:v>
      </x:c>
      <x:c r="G115" t="n">
        <x:v>0</x:v>
      </x:c>
      <x:c r="H115" t="n">
        <x:v>0</x:v>
      </x:c>
      <x:c r="I115" t="n">
        <x:v>1</x:v>
      </x:c>
      <x:c r="J115" t="n">
        <x:v>0</x:v>
      </x:c>
      <x:c r="K115" t="n">
        <x:v>0</x:v>
      </x:c>
      <x:c r="L115" t="n">
        <x:v>0</x:v>
      </x:c>
      <x:c r="M115" t="n">
        <x:v>0</x:v>
      </x:c>
      <x:c r="N115" t="n">
        <x:v>0</x:v>
      </x:c>
      <x:c r="O115" t="n">
        <x:v>0</x:v>
      </x:c>
      <x:c r="P115" t="n">
        <x:v>0</x:v>
      </x:c>
      <x:c r="Q115" t="n">
        <x:v>0</x:v>
      </x:c>
      <x:c r="R115" t="n">
        <x:v>0</x:v>
      </x:c>
      <x:c r="S115" t="n">
        <x:v>0</x:v>
      </x:c>
      <x:c r="T115" t="n">
        <x:v>0</x:v>
      </x:c>
      <x:c r="U115" t="n">
        <x:v>0</x:v>
      </x:c>
      <x:c r="V115" t="n">
        <x:v>0</x:v>
      </x:c>
      <x:c r="W115" t="n">
        <x:v>0</x:v>
      </x:c>
      <x:c r="X115" t="n">
        <x:v>0</x:v>
      </x:c>
      <x:c r="Y115" t="n">
        <x:v>0</x:v>
      </x:c>
      <x:c r="Z115" t="n">
        <x:v>0</x:v>
      </x:c>
    </x:row>
    <x:row r="116">
      <x:c r="A116" t="str">
        <x:v>scarton2018_learning_simplification_specific</x:v>
      </x:c>
      <x:c r="B116" t="str">
        <x:v>2018</x:v>
      </x:c>
      <x:c r="C116" t="str">
        <x:v>Learning Simplifications for Specific Target Audiences</x:v>
      </x:c>
      <x:c r="D116" t="str">
        <x:v>02_Adjacent_Multilingual_TS</x:v>
      </x:c>
      <x:c r="E116" t="n">
        <x:v>0</x:v>
      </x:c>
      <x:c r="F116" t="n">
        <x:v>0</x:v>
      </x:c>
      <x:c r="G116" t="n">
        <x:v>0</x:v>
      </x:c>
      <x:c r="H116" t="n">
        <x:v>0</x:v>
      </x:c>
      <x:c r="I116" t="n">
        <x:v>0</x:v>
      </x:c>
      <x:c r="J116" t="n">
        <x:v>0</x:v>
      </x:c>
      <x:c r="K116" t="n">
        <x:v>0</x:v>
      </x:c>
      <x:c r="L116" t="n">
        <x:v>0</x:v>
      </x:c>
      <x:c r="M116" t="n">
        <x:v>0</x:v>
      </x:c>
      <x:c r="N116" t="n">
        <x:v>0</x:v>
      </x:c>
      <x:c r="O116" t="n">
        <x:v>0</x:v>
      </x:c>
      <x:c r="P116" t="n">
        <x:v>0</x:v>
      </x:c>
      <x:c r="Q116" t="n">
        <x:v>0</x:v>
      </x:c>
      <x:c r="R116" t="n">
        <x:v>0</x:v>
      </x:c>
      <x:c r="S116" t="n">
        <x:v>0</x:v>
      </x:c>
      <x:c r="T116" t="n">
        <x:v>0</x:v>
      </x:c>
      <x:c r="U116" t="n">
        <x:v>0</x:v>
      </x:c>
      <x:c r="V116" t="n">
        <x:v>0</x:v>
      </x:c>
      <x:c r="W116" t="n">
        <x:v>0</x:v>
      </x:c>
      <x:c r="X116" t="n">
        <x:v>0</x:v>
      </x:c>
      <x:c r="Y116" t="n">
        <x:v>0</x:v>
      </x:c>
      <x:c r="Z116" t="n">
        <x:v>0</x:v>
      </x:c>
    </x:row>
    <x:row r="117">
      <x:c r="A117" t="str">
        <x:v>maddela2018_word_complexity_lexicon</x:v>
      </x:c>
      <x:c r="B117" t="str">
        <x:v>2018</x:v>
      </x:c>
      <x:c r="C117" t="str">
        <x:v>A Word-Complexity Lexicon and A Neural Readability Ranking Model for Lexical Simplification</x:v>
      </x:c>
      <x:c r="D117" t="str">
        <x:v>02_Adjacent_Multilingual_TS</x:v>
      </x:c>
      <x:c r="E117" t="n">
        <x:v>0</x:v>
      </x:c>
      <x:c r="F117" t="n">
        <x:v>1</x:v>
      </x:c>
      <x:c r="G117" t="n">
        <x:v>0</x:v>
      </x:c>
      <x:c r="H117" t="n">
        <x:v>0</x:v>
      </x:c>
      <x:c r="I117" t="n">
        <x:v>0</x:v>
      </x:c>
      <x:c r="J117" t="n">
        <x:v>0</x:v>
      </x:c>
      <x:c r="K117" t="n">
        <x:v>0</x:v>
      </x:c>
      <x:c r="L117" t="n">
        <x:v>0</x:v>
      </x:c>
      <x:c r="M117" t="n">
        <x:v>0</x:v>
      </x:c>
      <x:c r="N117" t="n">
        <x:v>0</x:v>
      </x:c>
      <x:c r="O117" t="n">
        <x:v>0</x:v>
      </x:c>
      <x:c r="P117" t="n">
        <x:v>0</x:v>
      </x:c>
      <x:c r="Q117" t="n">
        <x:v>0</x:v>
      </x:c>
      <x:c r="R117" t="n">
        <x:v>0</x:v>
      </x:c>
      <x:c r="S117" t="n">
        <x:v>0</x:v>
      </x:c>
      <x:c r="T117" t="n">
        <x:v>0</x:v>
      </x:c>
      <x:c r="U117" t="n">
        <x:v>0</x:v>
      </x:c>
      <x:c r="V117" t="n">
        <x:v>0</x:v>
      </x:c>
      <x:c r="W117" t="n">
        <x:v>0</x:v>
      </x:c>
      <x:c r="X117" t="n">
        <x:v>0</x:v>
      </x:c>
      <x:c r="Y117" t="n">
        <x:v>0</x:v>
      </x:c>
      <x:c r="Z117" t="n">
        <x:v>0</x:v>
      </x:c>
    </x:row>
    <x:row r="118">
      <x:c r="A118" t="str">
        <x:v>shardlow2014_text_simplification</x:v>
      </x:c>
      <x:c r="B118" t="str">
        <x:v>2014</x:v>
      </x:c>
      <x:c r="C118" t="str">
        <x:v>A Survey of Automated Text Simplification</x:v>
      </x:c>
      <x:c r="D118" t="str">
        <x:v>02_Adjacent_Multilingual_TS</x:v>
      </x:c>
      <x:c r="E118" t="n">
        <x:v>0</x:v>
      </x:c>
      <x:c r="F118" t="n">
        <x:v>0</x:v>
      </x:c>
      <x:c r="G118" t="n">
        <x:v>0</x:v>
      </x:c>
      <x:c r="H118" t="n">
        <x:v>0</x:v>
      </x:c>
      <x:c r="I118" t="n">
        <x:v>0</x:v>
      </x:c>
      <x:c r="J118" t="n">
        <x:v>0</x:v>
      </x:c>
      <x:c r="K118" t="n">
        <x:v>0</x:v>
      </x:c>
      <x:c r="L118" t="n">
        <x:v>0</x:v>
      </x:c>
      <x:c r="M118" t="n">
        <x:v>0</x:v>
      </x:c>
      <x:c r="N118" t="n">
        <x:v>0</x:v>
      </x:c>
      <x:c r="O118" t="n">
        <x:v>0</x:v>
      </x:c>
      <x:c r="P118" t="n">
        <x:v>0</x:v>
      </x:c>
      <x:c r="Q118" t="n">
        <x:v>0</x:v>
      </x:c>
      <x:c r="R118" t="n">
        <x:v>0</x:v>
      </x:c>
      <x:c r="S118" t="n">
        <x:v>0</x:v>
      </x:c>
      <x:c r="T118" t="n">
        <x:v>0</x:v>
      </x:c>
      <x:c r="U118" t="n">
        <x:v>0</x:v>
      </x:c>
      <x:c r="V118" t="n">
        <x:v>0</x:v>
      </x:c>
      <x:c r="W118" t="n">
        <x:v>0</x:v>
      </x:c>
      <x:c r="X118" t="n">
        <x:v>0</x:v>
      </x:c>
      <x:c r="Y118" t="n">
        <x:v>0</x:v>
      </x:c>
      <x:c r="Z118" t="n">
        <x:v>0</x:v>
      </x:c>
    </x:row>
    <x:row r="119">
      <x:c r="A119" t="str">
        <x:v>paetzold2017_lexical_simplification</x:v>
      </x:c>
      <x:c r="B119" t="str">
        <x:v>2017</x:v>
      </x:c>
      <x:c r="C119" t="str">
        <x:v>A Survey on Lexical Simplification</x:v>
      </x:c>
      <x:c r="D119" t="str">
        <x:v>02_Adjacent_Multilingual_TS</x:v>
      </x:c>
      <x:c r="E119" t="n">
        <x:v>0</x:v>
      </x:c>
      <x:c r="F119" t="n">
        <x:v>0</x:v>
      </x:c>
      <x:c r="G119" t="n">
        <x:v>0</x:v>
      </x:c>
      <x:c r="H119" t="n">
        <x:v>0</x:v>
      </x:c>
      <x:c r="I119" t="n">
        <x:v>0</x:v>
      </x:c>
      <x:c r="J119" t="n">
        <x:v>0</x:v>
      </x:c>
      <x:c r="K119" t="n">
        <x:v>0</x:v>
      </x:c>
      <x:c r="L119" t="n">
        <x:v>0</x:v>
      </x:c>
      <x:c r="M119" t="n">
        <x:v>0</x:v>
      </x:c>
      <x:c r="N119" t="n">
        <x:v>0</x:v>
      </x:c>
      <x:c r="O119" t="n">
        <x:v>0</x:v>
      </x:c>
      <x:c r="P119" t="n">
        <x:v>0</x:v>
      </x:c>
      <x:c r="Q119" t="n">
        <x:v>0</x:v>
      </x:c>
      <x:c r="R119" t="n">
        <x:v>0</x:v>
      </x:c>
      <x:c r="S119" t="n">
        <x:v>0</x:v>
      </x:c>
      <x:c r="T119" t="n">
        <x:v>0</x:v>
      </x:c>
      <x:c r="U119" t="n">
        <x:v>0</x:v>
      </x:c>
      <x:c r="V119" t="n">
        <x:v>0</x:v>
      </x:c>
      <x:c r="W119" t="n">
        <x:v>0</x:v>
      </x:c>
      <x:c r="X119" t="n">
        <x:v>0</x:v>
      </x:c>
      <x:c r="Y119" t="n">
        <x:v>0</x:v>
      </x:c>
      <x:c r="Z119" t="n">
        <x:v>0</x:v>
      </x:c>
    </x:row>
    <x:row r="120">
      <x:c r="A120" t="str">
        <x:v>althanyyan2021_text_simplification</x:v>
      </x:c>
      <x:c r="B120" t="str">
        <x:v>2021</x:v>
      </x:c>
      <x:c r="C120" t="str">
        <x:v>Automated Text Simplification: A Survey</x:v>
      </x:c>
      <x:c r="D120" t="str">
        <x:v>02_Adjacent_Multilingual_TS</x:v>
      </x:c>
      <x:c r="E120" t="n">
        <x:v>0</x:v>
      </x:c>
      <x:c r="F120" t="n">
        <x:v>0</x:v>
      </x:c>
      <x:c r="G120" t="n">
        <x:v>0</x:v>
      </x:c>
      <x:c r="H120" t="n">
        <x:v>0</x:v>
      </x:c>
      <x:c r="I120" t="n">
        <x:v>0</x:v>
      </x:c>
      <x:c r="J120" t="n">
        <x:v>0</x:v>
      </x:c>
      <x:c r="K120" t="n">
        <x:v>0</x:v>
      </x:c>
      <x:c r="L120" t="n">
        <x:v>0</x:v>
      </x:c>
      <x:c r="M120" t="n">
        <x:v>0</x:v>
      </x:c>
      <x:c r="N120" t="n">
        <x:v>0</x:v>
      </x:c>
      <x:c r="O120" t="n">
        <x:v>0</x:v>
      </x:c>
      <x:c r="P120" t="n">
        <x:v>0</x:v>
      </x:c>
      <x:c r="Q120" t="n">
        <x:v>0</x:v>
      </x:c>
      <x:c r="R120" t="n">
        <x:v>0</x:v>
      </x:c>
      <x:c r="S120" t="n">
        <x:v>0</x:v>
      </x:c>
      <x:c r="T120" t="n">
        <x:v>0</x:v>
      </x:c>
      <x:c r="U120" t="n">
        <x:v>0</x:v>
      </x:c>
      <x:c r="V120" t="n">
        <x:v>0</x:v>
      </x:c>
      <x:c r="W120" t="n">
        <x:v>0</x:v>
      </x:c>
      <x:c r="X120" t="n">
        <x:v>0</x:v>
      </x:c>
      <x:c r="Y120" t="n">
        <x:v>0</x:v>
      </x:c>
      <x:c r="Z120" t="n">
        <x:v>0</x:v>
      </x:c>
    </x:row>
    <x:row r="121">
      <x:c r="A121" t="str">
        <x:v>siddharthan2014_research_text_simplification</x:v>
      </x:c>
      <x:c r="B121" t="str">
        <x:v>2014</x:v>
      </x:c>
      <x:c r="C121" t="str">
        <x:v>A Survey of Research on Text Simplification</x:v>
      </x:c>
      <x:c r="D121" t="str">
        <x:v>02_Adjacent_Multilingual_TS</x:v>
      </x:c>
      <x:c r="E121" t="n">
        <x:v>0</x:v>
      </x:c>
      <x:c r="F121" t="n">
        <x:v>0</x:v>
      </x:c>
      <x:c r="G121" t="n">
        <x:v>0</x:v>
      </x:c>
      <x:c r="H121" t="n">
        <x:v>0</x:v>
      </x:c>
      <x:c r="I121" t="n">
        <x:v>0</x:v>
      </x:c>
      <x:c r="J121" t="n">
        <x:v>0</x:v>
      </x:c>
      <x:c r="K121" t="n">
        <x:v>0</x:v>
      </x:c>
      <x:c r="L121" t="n">
        <x:v>0</x:v>
      </x:c>
      <x:c r="M121" t="n">
        <x:v>0</x:v>
      </x:c>
      <x:c r="N121" t="n">
        <x:v>0</x:v>
      </x:c>
      <x:c r="O121" t="n">
        <x:v>0</x:v>
      </x:c>
      <x:c r="P121" t="n">
        <x:v>0</x:v>
      </x:c>
      <x:c r="Q121" t="n">
        <x:v>0</x:v>
      </x:c>
      <x:c r="R121" t="n">
        <x:v>0</x:v>
      </x:c>
      <x:c r="S121" t="n">
        <x:v>0</x:v>
      </x:c>
      <x:c r="T121" t="n">
        <x:v>0</x:v>
      </x:c>
      <x:c r="U121" t="n">
        <x:v>0</x:v>
      </x:c>
      <x:c r="V121" t="n">
        <x:v>0</x:v>
      </x:c>
      <x:c r="W121" t="n">
        <x:v>0</x:v>
      </x:c>
      <x:c r="X121" t="n">
        <x:v>0</x:v>
      </x:c>
      <x:c r="Y121" t="n">
        <x:v>0</x:v>
      </x:c>
      <x:c r="Z121" t="n">
        <x:v>0</x:v>
      </x:c>
    </x:row>
    <x:row r="122">
      <x:c r="A122" t="str">
        <x:v>zhu2010_monolingual_tree_translation</x:v>
      </x:c>
      <x:c r="B122" t="str">
        <x:v>2010</x:v>
      </x:c>
      <x:c r="C122" t="str">
        <x:v>A Monolingual Tree-based Translation Model for Sentence Simplification</x:v>
      </x:c>
      <x:c r="D122" t="str">
        <x:v>02_Adjacent_Multilingual_TS</x:v>
      </x:c>
      <x:c r="E122" t="n">
        <x:v>0</x:v>
      </x:c>
      <x:c r="F122" t="n">
        <x:v>0</x:v>
      </x:c>
      <x:c r="G122" t="n">
        <x:v>0</x:v>
      </x:c>
      <x:c r="H122" t="n">
        <x:v>0</x:v>
      </x:c>
      <x:c r="I122" t="n">
        <x:v>0</x:v>
      </x:c>
      <x:c r="J122" t="n">
        <x:v>0</x:v>
      </x:c>
      <x:c r="K122" t="n">
        <x:v>0</x:v>
      </x:c>
      <x:c r="L122" t="n">
        <x:v>0</x:v>
      </x:c>
      <x:c r="M122" t="n">
        <x:v>0</x:v>
      </x:c>
      <x:c r="N122" t="n">
        <x:v>0</x:v>
      </x:c>
      <x:c r="O122" t="n">
        <x:v>0</x:v>
      </x:c>
      <x:c r="P122" t="n">
        <x:v>0</x:v>
      </x:c>
      <x:c r="Q122" t="n">
        <x:v>0</x:v>
      </x:c>
      <x:c r="R122" t="n">
        <x:v>0</x:v>
      </x:c>
      <x:c r="S122" t="n">
        <x:v>0</x:v>
      </x:c>
      <x:c r="T122" t="n">
        <x:v>0</x:v>
      </x:c>
      <x:c r="U122" t="n">
        <x:v>0</x:v>
      </x:c>
      <x:c r="V122" t="n">
        <x:v>0</x:v>
      </x:c>
      <x:c r="W122" t="n">
        <x:v>0</x:v>
      </x:c>
      <x:c r="X122" t="n">
        <x:v>0</x:v>
      </x:c>
      <x:c r="Y122" t="n">
        <x:v>0</x:v>
      </x:c>
      <x:c r="Z122" t="n">
        <x:v>0</x:v>
      </x:c>
    </x:row>
    <x:row r="123">
      <x:c r="A123" t="str">
        <x:v>woodsend2011_learning_simplify_sentences</x:v>
      </x:c>
      <x:c r="B123" t="str">
        <x:v>2011</x:v>
      </x:c>
      <x:c r="C123" t="str">
        <x:v>Learning to Simplify Sentences with Quasi-Synchronous Grammar and Integer Programming</x:v>
      </x:c>
      <x:c r="D123" t="str">
        <x:v>02_Adjacent_Multilingual_TS</x:v>
      </x:c>
      <x:c r="E123" t="n">
        <x:v>0</x:v>
      </x:c>
      <x:c r="F123" t="n">
        <x:v>0</x:v>
      </x:c>
      <x:c r="G123" t="n">
        <x:v>0</x:v>
      </x:c>
      <x:c r="H123" t="n">
        <x:v>0</x:v>
      </x:c>
      <x:c r="I123" t="n">
        <x:v>0</x:v>
      </x:c>
      <x:c r="J123" t="n">
        <x:v>0</x:v>
      </x:c>
      <x:c r="K123" t="n">
        <x:v>0</x:v>
      </x:c>
      <x:c r="L123" t="n">
        <x:v>0</x:v>
      </x:c>
      <x:c r="M123" t="n">
        <x:v>0</x:v>
      </x:c>
      <x:c r="N123" t="n">
        <x:v>0</x:v>
      </x:c>
      <x:c r="O123" t="n">
        <x:v>0</x:v>
      </x:c>
      <x:c r="P123" t="n">
        <x:v>0</x:v>
      </x:c>
      <x:c r="Q123" t="n">
        <x:v>0</x:v>
      </x:c>
      <x:c r="R123" t="n">
        <x:v>0</x:v>
      </x:c>
      <x:c r="S123" t="n">
        <x:v>0</x:v>
      </x:c>
      <x:c r="T123" t="n">
        <x:v>0</x:v>
      </x:c>
      <x:c r="U123" t="n">
        <x:v>0</x:v>
      </x:c>
      <x:c r="V123" t="n">
        <x:v>0</x:v>
      </x:c>
      <x:c r="W123" t="n">
        <x:v>0</x:v>
      </x:c>
      <x:c r="X123" t="n">
        <x:v>0</x:v>
      </x:c>
      <x:c r="Y123" t="n">
        <x:v>0</x:v>
      </x:c>
      <x:c r="Z123" t="n">
        <x:v>0</x:v>
      </x:c>
    </x:row>
    <x:row r="124">
      <x:c r="A124" t="str">
        <x:v>narayan2014_hybrid_simplification_deep</x:v>
      </x:c>
      <x:c r="B124" t="str">
        <x:v>2014</x:v>
      </x:c>
      <x:c r="C124" t="str">
        <x:v>Hybrid Simplification using Deep Semantics and Machine Translation</x:v>
      </x:c>
      <x:c r="D124" t="str">
        <x:v>02_Adjacent_Multilingual_TS</x:v>
      </x:c>
      <x:c r="E124" t="n">
        <x:v>0</x:v>
      </x:c>
      <x:c r="F124" t="n">
        <x:v>0</x:v>
      </x:c>
      <x:c r="G124" t="n">
        <x:v>0</x:v>
      </x:c>
      <x:c r="H124" t="n">
        <x:v>0</x:v>
      </x:c>
      <x:c r="I124" t="n">
        <x:v>0</x:v>
      </x:c>
      <x:c r="J124" t="n">
        <x:v>0</x:v>
      </x:c>
      <x:c r="K124" t="n">
        <x:v>0</x:v>
      </x:c>
      <x:c r="L124" t="n">
        <x:v>0</x:v>
      </x:c>
      <x:c r="M124" t="n">
        <x:v>0</x:v>
      </x:c>
      <x:c r="N124" t="n">
        <x:v>0</x:v>
      </x:c>
      <x:c r="O124" t="n">
        <x:v>0</x:v>
      </x:c>
      <x:c r="P124" t="n">
        <x:v>0</x:v>
      </x:c>
      <x:c r="Q124" t="n">
        <x:v>0</x:v>
      </x:c>
      <x:c r="R124" t="n">
        <x:v>0</x:v>
      </x:c>
      <x:c r="S124" t="n">
        <x:v>0</x:v>
      </x:c>
      <x:c r="T124" t="n">
        <x:v>0</x:v>
      </x:c>
      <x:c r="U124" t="n">
        <x:v>0</x:v>
      </x:c>
      <x:c r="V124" t="n">
        <x:v>0</x:v>
      </x:c>
      <x:c r="W124" t="n">
        <x:v>0</x:v>
      </x:c>
      <x:c r="X124" t="n">
        <x:v>0</x:v>
      </x:c>
      <x:c r="Y124" t="n">
        <x:v>0</x:v>
      </x:c>
      <x:c r="Z124" t="n">
        <x:v>0</x:v>
      </x:c>
    </x:row>
    <x:row r="125">
      <x:c r="A125" t="str">
        <x:v>wubben2012_sentence_simplification_monolingual</x:v>
      </x:c>
      <x:c r="B125" t="str">
        <x:v>2012</x:v>
      </x:c>
      <x:c r="C125" t="str">
        <x:v>Sentence Simplification by Monolingual Machine Translation</x:v>
      </x:c>
      <x:c r="D125" t="str">
        <x:v>02_Adjacent_Multilingual_TS</x:v>
      </x:c>
      <x:c r="E125" t="n">
        <x:v>0</x:v>
      </x:c>
      <x:c r="F125" t="n">
        <x:v>0</x:v>
      </x:c>
      <x:c r="G125" t="n">
        <x:v>0</x:v>
      </x:c>
      <x:c r="H125" t="n">
        <x:v>0</x:v>
      </x:c>
      <x:c r="I125" t="n">
        <x:v>0</x:v>
      </x:c>
      <x:c r="J125" t="n">
        <x:v>0</x:v>
      </x:c>
      <x:c r="K125" t="n">
        <x:v>0</x:v>
      </x:c>
      <x:c r="L125" t="n">
        <x:v>0</x:v>
      </x:c>
      <x:c r="M125" t="n">
        <x:v>0</x:v>
      </x:c>
      <x:c r="N125" t="n">
        <x:v>0</x:v>
      </x:c>
      <x:c r="O125" t="n">
        <x:v>0</x:v>
      </x:c>
      <x:c r="P125" t="n">
        <x:v>0</x:v>
      </x:c>
      <x:c r="Q125" t="n">
        <x:v>0</x:v>
      </x:c>
      <x:c r="R125" t="n">
        <x:v>0</x:v>
      </x:c>
      <x:c r="S125" t="n">
        <x:v>0</x:v>
      </x:c>
      <x:c r="T125" t="n">
        <x:v>0</x:v>
      </x:c>
      <x:c r="U125" t="n">
        <x:v>0</x:v>
      </x:c>
      <x:c r="V125" t="n">
        <x:v>0</x:v>
      </x:c>
      <x:c r="W125" t="n">
        <x:v>0</x:v>
      </x:c>
      <x:c r="X125" t="n">
        <x:v>0</x:v>
      </x:c>
      <x:c r="Y125" t="n">
        <x:v>0</x:v>
      </x:c>
      <x:c r="Z125" t="n">
        <x:v>0</x:v>
      </x:c>
    </x:row>
    <x:row r="126">
      <x:c r="A126" t="str">
        <x:v>coster2011_simple_english_wikipedia</x:v>
      </x:c>
      <x:c r="B126" t="str">
        <x:v>2011</x:v>
      </x:c>
      <x:c r="C126" t="str">
        <x:v>Simple English Wikipedia: A New Text Simplification Task</x:v>
      </x:c>
      <x:c r="D126" t="str">
        <x:v>02_Adjacent_Multilingual_TS</x:v>
      </x:c>
      <x:c r="E126" t="n">
        <x:v>0</x:v>
      </x:c>
      <x:c r="F126" t="n">
        <x:v>0</x:v>
      </x:c>
      <x:c r="G126" t="n">
        <x:v>0</x:v>
      </x:c>
      <x:c r="H126" t="n">
        <x:v>0</x:v>
      </x:c>
      <x:c r="I126" t="n">
        <x:v>0</x:v>
      </x:c>
      <x:c r="J126" t="n">
        <x:v>0</x:v>
      </x:c>
      <x:c r="K126" t="n">
        <x:v>0</x:v>
      </x:c>
      <x:c r="L126" t="n">
        <x:v>0</x:v>
      </x:c>
      <x:c r="M126" t="n">
        <x:v>0</x:v>
      </x:c>
      <x:c r="N126" t="n">
        <x:v>0</x:v>
      </x:c>
      <x:c r="O126" t="n">
        <x:v>0</x:v>
      </x:c>
      <x:c r="P126" t="n">
        <x:v>0</x:v>
      </x:c>
      <x:c r="Q126" t="n">
        <x:v>0</x:v>
      </x:c>
      <x:c r="R126" t="n">
        <x:v>0</x:v>
      </x:c>
      <x:c r="S126" t="n">
        <x:v>0</x:v>
      </x:c>
      <x:c r="T126" t="n">
        <x:v>0</x:v>
      </x:c>
      <x:c r="U126" t="n">
        <x:v>0</x:v>
      </x:c>
      <x:c r="V126" t="n">
        <x:v>1</x:v>
      </x:c>
      <x:c r="W126" t="n">
        <x:v>0</x:v>
      </x:c>
      <x:c r="X126" t="n">
        <x:v>0</x:v>
      </x:c>
      <x:c r="Y126" t="n">
        <x:v>0</x:v>
      </x:c>
      <x:c r="Z126" t="n">
        <x:v>0</x:v>
      </x:c>
    </x:row>
    <x:row r="127">
      <x:c r="A127" t="str">
        <x:v>zhang2015_character_level_convolutional</x:v>
      </x:c>
      <x:c r="B127" t="str">
        <x:v>2015</x:v>
      </x:c>
      <x:c r="C127" t="str">
        <x:v>Character-level Convolutional Networks for Text Classification</x:v>
      </x:c>
      <x:c r="D127" t="str">
        <x:v>02_Adjacent_Multilingual_TS</x:v>
      </x:c>
      <x:c r="E127" t="n">
        <x:v>0</x:v>
      </x:c>
      <x:c r="F127" t="n">
        <x:v>0</x:v>
      </x:c>
      <x:c r="G127" t="n">
        <x:v>0</x:v>
      </x:c>
      <x:c r="H127" t="n">
        <x:v>0</x:v>
      </x:c>
      <x:c r="I127" t="n">
        <x:v>0</x:v>
      </x:c>
      <x:c r="J127" t="n">
        <x:v>0</x:v>
      </x:c>
      <x:c r="K127" t="n">
        <x:v>0</x:v>
      </x:c>
      <x:c r="L127" t="n">
        <x:v>0</x:v>
      </x:c>
      <x:c r="M127" t="n">
        <x:v>0</x:v>
      </x:c>
      <x:c r="N127" t="n">
        <x:v>0</x:v>
      </x:c>
      <x:c r="O127" t="n">
        <x:v>0</x:v>
      </x:c>
      <x:c r="P127" t="n">
        <x:v>0</x:v>
      </x:c>
      <x:c r="Q127" t="n">
        <x:v>0</x:v>
      </x:c>
      <x:c r="R127" t="n">
        <x:v>0</x:v>
      </x:c>
      <x:c r="S127" t="n">
        <x:v>0</x:v>
      </x:c>
      <x:c r="T127" t="n">
        <x:v>0</x:v>
      </x:c>
      <x:c r="U127" t="n">
        <x:v>0</x:v>
      </x:c>
      <x:c r="V127" t="n">
        <x:v>0</x:v>
      </x:c>
      <x:c r="W127" t="n">
        <x:v>0</x:v>
      </x:c>
      <x:c r="X127" t="n">
        <x:v>0</x:v>
      </x:c>
      <x:c r="Y127" t="n">
        <x:v>0</x:v>
      </x:c>
      <x:c r="Z127" t="n">
        <x:v>0</x:v>
      </x:c>
    </x:row>
    <x:row r="128">
      <x:c r="A128" t="str">
        <x:v>zhao2018_integrating_transformer_paraphrase</x:v>
      </x:c>
      <x:c r="B128" t="str">
        <x:v>2018</x:v>
      </x:c>
      <x:c r="C128" t="str">
        <x:v>Integrating Transformer and Paraphrase Rules for Sentence Simplification</x:v>
      </x:c>
      <x:c r="D128" t="str">
        <x:v>02_Adjacent_Multilingual_TS</x:v>
      </x:c>
      <x:c r="E128" t="n">
        <x:v>0</x:v>
      </x:c>
      <x:c r="F128" t="n">
        <x:v>0</x:v>
      </x:c>
      <x:c r="G128" t="n">
        <x:v>0</x:v>
      </x:c>
      <x:c r="H128" t="n">
        <x:v>0</x:v>
      </x:c>
      <x:c r="I128" t="n">
        <x:v>0</x:v>
      </x:c>
      <x:c r="J128" t="n">
        <x:v>0</x:v>
      </x:c>
      <x:c r="K128" t="n">
        <x:v>0</x:v>
      </x:c>
      <x:c r="L128" t="n">
        <x:v>0</x:v>
      </x:c>
      <x:c r="M128" t="n">
        <x:v>0</x:v>
      </x:c>
      <x:c r="N128" t="n">
        <x:v>0</x:v>
      </x:c>
      <x:c r="O128" t="n">
        <x:v>0</x:v>
      </x:c>
      <x:c r="P128" t="n">
        <x:v>0</x:v>
      </x:c>
      <x:c r="Q128" t="n">
        <x:v>0</x:v>
      </x:c>
      <x:c r="R128" t="n">
        <x:v>0</x:v>
      </x:c>
      <x:c r="S128" t="n">
        <x:v>0</x:v>
      </x:c>
      <x:c r="T128" t="n">
        <x:v>0</x:v>
      </x:c>
      <x:c r="U128" t="n">
        <x:v>0</x:v>
      </x:c>
      <x:c r="V128" t="n">
        <x:v>0</x:v>
      </x:c>
      <x:c r="W128" t="n">
        <x:v>0</x:v>
      </x:c>
      <x:c r="X128" t="n">
        <x:v>0</x:v>
      </x:c>
      <x:c r="Y128" t="n">
        <x:v>0</x:v>
      </x:c>
      <x:c r="Z128" t="n">
        <x:v>0</x:v>
      </x:c>
    </x:row>
    <x:row r="129">
      <x:c r="A129" t="str">
        <x:v>kriz2019_simplification_paraphrases_context</x:v>
      </x:c>
      <x:c r="B129" t="str">
        <x:v>2019</x:v>
      </x:c>
      <x:c r="C129" t="str">
        <x:v>Simplification Using Paraphrases and Context-based Lexical Substitution</x:v>
      </x:c>
      <x:c r="D129" t="str">
        <x:v>02_Adjacent_Multilingual_TS</x:v>
      </x:c>
      <x:c r="E129" t="n">
        <x:v>0</x:v>
      </x:c>
      <x:c r="F129" t="n">
        <x:v>0</x:v>
      </x:c>
      <x:c r="G129" t="n">
        <x:v>0</x:v>
      </x:c>
      <x:c r="H129" t="n">
        <x:v>0</x:v>
      </x:c>
      <x:c r="I129" t="n">
        <x:v>0</x:v>
      </x:c>
      <x:c r="J129" t="n">
        <x:v>0</x:v>
      </x:c>
      <x:c r="K129" t="n">
        <x:v>0</x:v>
      </x:c>
      <x:c r="L129" t="n">
        <x:v>0</x:v>
      </x:c>
      <x:c r="M129" t="n">
        <x:v>0</x:v>
      </x:c>
      <x:c r="N129" t="n">
        <x:v>0</x:v>
      </x:c>
      <x:c r="O129" t="n">
        <x:v>0</x:v>
      </x:c>
      <x:c r="P129" t="n">
        <x:v>0</x:v>
      </x:c>
      <x:c r="Q129" t="n">
        <x:v>0</x:v>
      </x:c>
      <x:c r="R129" t="n">
        <x:v>0</x:v>
      </x:c>
      <x:c r="S129" t="n">
        <x:v>0</x:v>
      </x:c>
      <x:c r="T129" t="n">
        <x:v>0</x:v>
      </x:c>
      <x:c r="U129" t="n">
        <x:v>0</x:v>
      </x:c>
      <x:c r="V129" t="n">
        <x:v>0</x:v>
      </x:c>
      <x:c r="W129" t="n">
        <x:v>0</x:v>
      </x:c>
      <x:c r="X129" t="n">
        <x:v>0</x:v>
      </x:c>
      <x:c r="Y129" t="n">
        <x:v>0</x:v>
      </x:c>
      <x:c r="Z129" t="n">
        <x:v>0</x:v>
      </x:c>
    </x:row>
    <x:row r="130">
      <x:c r="A130" t="str">
        <x:v>lin2004_rouge_package_evaluation</x:v>
      </x:c>
      <x:c r="B130" t="str">
        <x:v>2004</x:v>
      </x:c>
      <x:c r="C130" t="str">
        <x:v>ROUGE: A Package for Automatic Evaluation of Summaries</x:v>
      </x:c>
      <x:c r="D130" t="str">
        <x:v>07_Evaluation_Methods</x:v>
      </x:c>
      <x:c r="E130" t="n">
        <x:v>0</x:v>
      </x:c>
      <x:c r="F130" t="n">
        <x:v>0</x:v>
      </x:c>
      <x:c r="G130" t="n">
        <x:v>0</x:v>
      </x:c>
      <x:c r="H130" t="n">
        <x:v>0</x:v>
      </x:c>
      <x:c r="I130" t="n">
        <x:v>0</x:v>
      </x:c>
      <x:c r="J130" t="n">
        <x:v>0</x:v>
      </x:c>
      <x:c r="K130" t="n">
        <x:v>0</x:v>
      </x:c>
      <x:c r="L130" t="n">
        <x:v>0</x:v>
      </x:c>
      <x:c r="M130" t="n">
        <x:v>0</x:v>
      </x:c>
      <x:c r="N130" t="n">
        <x:v>0</x:v>
      </x:c>
      <x:c r="O130" t="n">
        <x:v>0</x:v>
      </x:c>
      <x:c r="P130" t="n">
        <x:v>0</x:v>
      </x:c>
      <x:c r="Q130" t="n">
        <x:v>0</x:v>
      </x:c>
      <x:c r="R130" t="n">
        <x:v>0</x:v>
      </x:c>
      <x:c r="S130" t="n">
        <x:v>0</x:v>
      </x:c>
      <x:c r="T130" t="n">
        <x:v>0</x:v>
      </x:c>
      <x:c r="U130" t="n">
        <x:v>0</x:v>
      </x:c>
      <x:c r="V130" t="n">
        <x:v>0</x:v>
      </x:c>
      <x:c r="W130" t="n">
        <x:v>0</x:v>
      </x:c>
      <x:c r="X130" t="n">
        <x:v>0</x:v>
      </x:c>
      <x:c r="Y130" t="n">
        <x:v>0</x:v>
      </x:c>
      <x:c r="Z130" t="n">
        <x:v>0</x:v>
      </x:c>
    </x:row>
    <x:row r="131">
      <x:c r="A131" t="str">
        <x:v>papineni2002_bleu_evaluation_machine</x:v>
      </x:c>
      <x:c r="B131" t="str">
        <x:v>2002</x:v>
      </x:c>
      <x:c r="C131" t="str">
        <x:v>BLEU: A Method for Automatic Evaluation of Machine Translation</x:v>
      </x:c>
      <x:c r="D131" t="str">
        <x:v>07_Evaluation_Methods</x:v>
      </x:c>
      <x:c r="E131" t="n">
        <x:v>0</x:v>
      </x:c>
      <x:c r="F131" t="n">
        <x:v>0</x:v>
      </x:c>
      <x:c r="G131" t="n">
        <x:v>0</x:v>
      </x:c>
      <x:c r="H131" t="n">
        <x:v>0</x:v>
      </x:c>
      <x:c r="I131" t="n">
        <x:v>0</x:v>
      </x:c>
      <x:c r="J131" t="n">
        <x:v>0</x:v>
      </x:c>
      <x:c r="K131" t="n">
        <x:v>0</x:v>
      </x:c>
      <x:c r="L131" t="n">
        <x:v>0</x:v>
      </x:c>
      <x:c r="M131" t="n">
        <x:v>0</x:v>
      </x:c>
      <x:c r="N131" t="n">
        <x:v>0</x:v>
      </x:c>
      <x:c r="O131" t="n">
        <x:v>0</x:v>
      </x:c>
      <x:c r="P131" t="n">
        <x:v>0</x:v>
      </x:c>
      <x:c r="Q131" t="n">
        <x:v>0</x:v>
      </x:c>
      <x:c r="R131" t="n">
        <x:v>0</x:v>
      </x:c>
      <x:c r="S131" t="n">
        <x:v>0</x:v>
      </x:c>
      <x:c r="T131" t="n">
        <x:v>0</x:v>
      </x:c>
      <x:c r="U131" t="n">
        <x:v>0</x:v>
      </x:c>
      <x:c r="V131" t="n">
        <x:v>0</x:v>
      </x:c>
      <x:c r="W131" t="n">
        <x:v>0</x:v>
      </x:c>
      <x:c r="X131" t="n">
        <x:v>0</x:v>
      </x:c>
      <x:c r="Y131" t="n">
        <x:v>0</x:v>
      </x:c>
      <x:c r="Z131" t="n">
        <x:v>0</x:v>
      </x:c>
    </x:row>
    <x:row r="132">
      <x:c r="A132" t="str">
        <x:v>banerjee2005_meteor_metric_mt</x:v>
      </x:c>
      <x:c r="B132" t="str">
        <x:v>2005</x:v>
      </x:c>
      <x:c r="C132" t="str">
        <x:v>METEOR: An Automatic Metric for MT Evaluation with Improved Correlation with Human Judgments</x:v>
      </x:c>
      <x:c r="D132" t="str">
        <x:v>07_Evaluation_Methods</x:v>
      </x:c>
      <x:c r="E132" t="n">
        <x:v>0</x:v>
      </x:c>
      <x:c r="F132" t="n">
        <x:v>0</x:v>
      </x:c>
      <x:c r="G132" t="n">
        <x:v>0</x:v>
      </x:c>
      <x:c r="H132" t="n">
        <x:v>0</x:v>
      </x:c>
      <x:c r="I132" t="n">
        <x:v>0</x:v>
      </x:c>
      <x:c r="J132" t="n">
        <x:v>0</x:v>
      </x:c>
      <x:c r="K132" t="n">
        <x:v>0</x:v>
      </x:c>
      <x:c r="L132" t="n">
        <x:v>0</x:v>
      </x:c>
      <x:c r="M132" t="n">
        <x:v>0</x:v>
      </x:c>
      <x:c r="N132" t="n">
        <x:v>0</x:v>
      </x:c>
      <x:c r="O132" t="n">
        <x:v>0</x:v>
      </x:c>
      <x:c r="P132" t="n">
        <x:v>0</x:v>
      </x:c>
      <x:c r="Q132" t="n">
        <x:v>0</x:v>
      </x:c>
      <x:c r="R132" t="n">
        <x:v>0</x:v>
      </x:c>
      <x:c r="S132" t="n">
        <x:v>0</x:v>
      </x:c>
      <x:c r="T132" t="n">
        <x:v>0</x:v>
      </x:c>
      <x:c r="U132" t="n">
        <x:v>0</x:v>
      </x:c>
      <x:c r="V132" t="n">
        <x:v>0</x:v>
      </x:c>
      <x:c r="W132" t="n">
        <x:v>0</x:v>
      </x:c>
      <x:c r="X132" t="n">
        <x:v>0</x:v>
      </x:c>
      <x:c r="Y132" t="n">
        <x:v>0</x:v>
      </x:c>
      <x:c r="Z132" t="n">
        <x:v>0</x:v>
      </x:c>
    </x:row>
    <x:row r="133">
      <x:c r="A133" t="str">
        <x:v>zhang2020_bertscore_evaluating_text</x:v>
      </x:c>
      <x:c r="B133" t="str">
        <x:v>2020</x:v>
      </x:c>
      <x:c r="C133" t="str">
        <x:v>BERTScore: Evaluating Text Generation with BERT</x:v>
      </x:c>
      <x:c r="D133" t="str">
        <x:v>07_Evaluation_Methods</x:v>
      </x:c>
      <x:c r="E133" t="n">
        <x:v>0</x:v>
      </x:c>
      <x:c r="F133" t="n">
        <x:v>0</x:v>
      </x:c>
      <x:c r="G133" t="n">
        <x:v>0</x:v>
      </x:c>
      <x:c r="H133" t="n">
        <x:v>0</x:v>
      </x:c>
      <x:c r="I133" t="n">
        <x:v>0</x:v>
      </x:c>
      <x:c r="J133" t="n">
        <x:v>0</x:v>
      </x:c>
      <x:c r="K133" t="n">
        <x:v>0</x:v>
      </x:c>
      <x:c r="L133" t="n">
        <x:v>0</x:v>
      </x:c>
      <x:c r="M133" t="n">
        <x:v>0</x:v>
      </x:c>
      <x:c r="N133" t="n">
        <x:v>0</x:v>
      </x:c>
      <x:c r="O133" t="n">
        <x:v>0</x:v>
      </x:c>
      <x:c r="P133" t="n">
        <x:v>0</x:v>
      </x:c>
      <x:c r="Q133" t="n">
        <x:v>0</x:v>
      </x:c>
      <x:c r="R133" t="n">
        <x:v>0</x:v>
      </x:c>
      <x:c r="S133" t="n">
        <x:v>0</x:v>
      </x:c>
      <x:c r="T133" t="n">
        <x:v>0</x:v>
      </x:c>
      <x:c r="U133" t="n">
        <x:v>0</x:v>
      </x:c>
      <x:c r="V133" t="n">
        <x:v>0</x:v>
      </x:c>
      <x:c r="W133" t="n">
        <x:v>0</x:v>
      </x:c>
      <x:c r="X133" t="n">
        <x:v>0</x:v>
      </x:c>
      <x:c r="Y133" t="n">
        <x:v>0</x:v>
      </x:c>
      <x:c r="Z133" t="n">
        <x:v>0</x:v>
      </x:c>
    </x:row>
    <x:row r="134">
      <x:c r="A134" t="str">
        <x:v>sellam2020_bleurt_learning_robust</x:v>
      </x:c>
      <x:c r="B134" t="str">
        <x:v>2020</x:v>
      </x:c>
      <x:c r="C134" t="str">
        <x:v>BLEURT: Learning Robust Metrics for Text Generation</x:v>
      </x:c>
      <x:c r="D134" t="str">
        <x:v>07_Evaluation_Methods</x:v>
      </x:c>
      <x:c r="E134" t="n">
        <x:v>0</x:v>
      </x:c>
      <x:c r="F134" t="n">
        <x:v>0</x:v>
      </x:c>
      <x:c r="G134" t="n">
        <x:v>0</x:v>
      </x:c>
      <x:c r="H134" t="n">
        <x:v>0</x:v>
      </x:c>
      <x:c r="I134" t="n">
        <x:v>0</x:v>
      </x:c>
      <x:c r="J134" t="n">
        <x:v>0</x:v>
      </x:c>
      <x:c r="K134" t="n">
        <x:v>0</x:v>
      </x:c>
      <x:c r="L134" t="n">
        <x:v>0</x:v>
      </x:c>
      <x:c r="M134" t="n">
        <x:v>0</x:v>
      </x:c>
      <x:c r="N134" t="n">
        <x:v>0</x:v>
      </x:c>
      <x:c r="O134" t="n">
        <x:v>0</x:v>
      </x:c>
      <x:c r="P134" t="n">
        <x:v>0</x:v>
      </x:c>
      <x:c r="Q134" t="n">
        <x:v>0</x:v>
      </x:c>
      <x:c r="R134" t="n">
        <x:v>0</x:v>
      </x:c>
      <x:c r="S134" t="n">
        <x:v>0</x:v>
      </x:c>
      <x:c r="T134" t="n">
        <x:v>0</x:v>
      </x:c>
      <x:c r="U134" t="n">
        <x:v>0</x:v>
      </x:c>
      <x:c r="V134" t="n">
        <x:v>0</x:v>
      </x:c>
      <x:c r="W134" t="n">
        <x:v>0</x:v>
      </x:c>
      <x:c r="X134" t="n">
        <x:v>0</x:v>
      </x:c>
      <x:c r="Y134" t="n">
        <x:v>0</x:v>
      </x:c>
      <x:c r="Z134" t="n">
        <x:v>0</x:v>
      </x:c>
    </x:row>
    <x:row r="135">
      <x:c r="A135" t="str">
        <x:v>rei2020_comet_neural_framework</x:v>
      </x:c>
      <x:c r="B135" t="str">
        <x:v>2020</x:v>
      </x:c>
      <x:c r="C135" t="str">
        <x:v>COMET: A Neural Framework for MT Evaluation</x:v>
      </x:c>
      <x:c r="D135" t="str">
        <x:v>07_Evaluation_Methods</x:v>
      </x:c>
      <x:c r="E135" t="n">
        <x:v>0</x:v>
      </x:c>
      <x:c r="F135" t="n">
        <x:v>0</x:v>
      </x:c>
      <x:c r="G135" t="n">
        <x:v>0</x:v>
      </x:c>
      <x:c r="H135" t="n">
        <x:v>0</x:v>
      </x:c>
      <x:c r="I135" t="n">
        <x:v>0</x:v>
      </x:c>
      <x:c r="J135" t="n">
        <x:v>0</x:v>
      </x:c>
      <x:c r="K135" t="n">
        <x:v>0</x:v>
      </x:c>
      <x:c r="L135" t="n">
        <x:v>0</x:v>
      </x:c>
      <x:c r="M135" t="n">
        <x:v>0</x:v>
      </x:c>
      <x:c r="N135" t="n">
        <x:v>0</x:v>
      </x:c>
      <x:c r="O135" t="n">
        <x:v>0</x:v>
      </x:c>
      <x:c r="P135" t="n">
        <x:v>0</x:v>
      </x:c>
      <x:c r="Q135" t="n">
        <x:v>0</x:v>
      </x:c>
      <x:c r="R135" t="n">
        <x:v>0</x:v>
      </x:c>
      <x:c r="S135" t="n">
        <x:v>0</x:v>
      </x:c>
      <x:c r="T135" t="n">
        <x:v>0</x:v>
      </x:c>
      <x:c r="U135" t="n">
        <x:v>0</x:v>
      </x:c>
      <x:c r="V135" t="n">
        <x:v>0</x:v>
      </x:c>
      <x:c r="W135" t="n">
        <x:v>0</x:v>
      </x:c>
      <x:c r="X135" t="n">
        <x:v>0</x:v>
      </x:c>
      <x:c r="Y135" t="n">
        <x:v>0</x:v>
      </x:c>
      <x:c r="Z135" t="n">
        <x:v>0</x:v>
      </x:c>
    </x:row>
    <x:row r="136">
      <x:c r="A136" t="str">
        <x:v>landis1977_measurement_observer_agreement</x:v>
      </x:c>
      <x:c r="B136" t="str">
        <x:v>1977</x:v>
      </x:c>
      <x:c r="C136" t="str">
        <x:v>The Measurement of Observer Agreement for Categorical Data</x:v>
      </x:c>
      <x:c r="D136" t="str">
        <x:v>07_Evaluation_Methods</x:v>
      </x:c>
      <x:c r="E136" t="n">
        <x:v>0</x:v>
      </x:c>
      <x:c r="F136" t="n">
        <x:v>0</x:v>
      </x:c>
      <x:c r="G136" t="n">
        <x:v>0</x:v>
      </x:c>
      <x:c r="H136" t="n">
        <x:v>0</x:v>
      </x:c>
      <x:c r="I136" t="n">
        <x:v>0</x:v>
      </x:c>
      <x:c r="J136" t="n">
        <x:v>0</x:v>
      </x:c>
      <x:c r="K136" t="n">
        <x:v>0</x:v>
      </x:c>
      <x:c r="L136" t="n">
        <x:v>0</x:v>
      </x:c>
      <x:c r="M136" t="n">
        <x:v>0</x:v>
      </x:c>
      <x:c r="N136" t="n">
        <x:v>0</x:v>
      </x:c>
      <x:c r="O136" t="n">
        <x:v>0</x:v>
      </x:c>
      <x:c r="P136" t="n">
        <x:v>0</x:v>
      </x:c>
      <x:c r="Q136" t="n">
        <x:v>0</x:v>
      </x:c>
      <x:c r="R136" t="n">
        <x:v>0</x:v>
      </x:c>
      <x:c r="S136" t="n">
        <x:v>0</x:v>
      </x:c>
      <x:c r="T136" t="n">
        <x:v>1</x:v>
      </x:c>
      <x:c r="U136" t="n">
        <x:v>0</x:v>
      </x:c>
      <x:c r="V136" t="n">
        <x:v>0</x:v>
      </x:c>
      <x:c r="W136" t="n">
        <x:v>0</x:v>
      </x:c>
      <x:c r="X136" t="n">
        <x:v>0</x:v>
      </x:c>
      <x:c r="Y136" t="n">
        <x:v>0</x:v>
      </x:c>
      <x:c r="Z136" t="n">
        <x:v>0</x:v>
      </x:c>
    </x:row>
    <x:row r="137">
      <x:c r="A137" t="str">
        <x:v>fleiss1971_measuring_nominal_agreement</x:v>
      </x:c>
      <x:c r="B137" t="str">
        <x:v>1971</x:v>
      </x:c>
      <x:c r="C137" t="str">
        <x:v>Measuring Nominal Scale Agreement among Many Raters</x:v>
      </x:c>
      <x:c r="D137" t="str">
        <x:v>07_Evaluation_Methods</x:v>
      </x:c>
      <x:c r="E137" t="n">
        <x:v>0</x:v>
      </x:c>
      <x:c r="F137" t="n">
        <x:v>0</x:v>
      </x:c>
      <x:c r="G137" t="n">
        <x:v>0</x:v>
      </x:c>
      <x:c r="H137" t="n">
        <x:v>0</x:v>
      </x:c>
      <x:c r="I137" t="n">
        <x:v>0</x:v>
      </x:c>
      <x:c r="J137" t="n">
        <x:v>0</x:v>
      </x:c>
      <x:c r="K137" t="n">
        <x:v>0</x:v>
      </x:c>
      <x:c r="L137" t="n">
        <x:v>0</x:v>
      </x:c>
      <x:c r="M137" t="n">
        <x:v>0</x:v>
      </x:c>
      <x:c r="N137" t="n">
        <x:v>0</x:v>
      </x:c>
      <x:c r="O137" t="n">
        <x:v>0</x:v>
      </x:c>
      <x:c r="P137" t="n">
        <x:v>0</x:v>
      </x:c>
      <x:c r="Q137" t="n">
        <x:v>0</x:v>
      </x:c>
      <x:c r="R137" t="n">
        <x:v>0</x:v>
      </x:c>
      <x:c r="S137" t="n">
        <x:v>0</x:v>
      </x:c>
      <x:c r="T137" t="n">
        <x:v>1</x:v>
      </x:c>
      <x:c r="U137" t="n">
        <x:v>0</x:v>
      </x:c>
      <x:c r="V137" t="n">
        <x:v>0</x:v>
      </x:c>
      <x:c r="W137" t="n">
        <x:v>0</x:v>
      </x:c>
      <x:c r="X137" t="n">
        <x:v>0</x:v>
      </x:c>
      <x:c r="Y137" t="n">
        <x:v>0</x:v>
      </x:c>
      <x:c r="Z137" t="n">
        <x:v>0</x:v>
      </x:c>
    </x:row>
    <x:row r="138">
      <x:c r="A138" t="str">
        <x:v>cohen1960_coefficient_agreement_nominal</x:v>
      </x:c>
      <x:c r="B138" t="str">
        <x:v>1960</x:v>
      </x:c>
      <x:c r="C138" t="str">
        <x:v>A Coefficient of Agreement for Nominal Scales</x:v>
      </x:c>
      <x:c r="D138" t="str">
        <x:v>07_Evaluation_Methods</x:v>
      </x:c>
      <x:c r="E138" t="n">
        <x:v>0</x:v>
      </x:c>
      <x:c r="F138" t="n">
        <x:v>0</x:v>
      </x:c>
      <x:c r="G138" t="n">
        <x:v>0</x:v>
      </x:c>
      <x:c r="H138" t="n">
        <x:v>0</x:v>
      </x:c>
      <x:c r="I138" t="n">
        <x:v>0</x:v>
      </x:c>
      <x:c r="J138" t="n">
        <x:v>0</x:v>
      </x:c>
      <x:c r="K138" t="n">
        <x:v>0</x:v>
      </x:c>
      <x:c r="L138" t="n">
        <x:v>0</x:v>
      </x:c>
      <x:c r="M138" t="n">
        <x:v>0</x:v>
      </x:c>
      <x:c r="N138" t="n">
        <x:v>0</x:v>
      </x:c>
      <x:c r="O138" t="n">
        <x:v>0</x:v>
      </x:c>
      <x:c r="P138" t="n">
        <x:v>0</x:v>
      </x:c>
      <x:c r="Q138" t="n">
        <x:v>0</x:v>
      </x:c>
      <x:c r="R138" t="n">
        <x:v>0</x:v>
      </x:c>
      <x:c r="S138" t="n">
        <x:v>0</x:v>
      </x:c>
      <x:c r="T138" t="n">
        <x:v>1</x:v>
      </x:c>
      <x:c r="U138" t="n">
        <x:v>0</x:v>
      </x:c>
      <x:c r="V138" t="n">
        <x:v>0</x:v>
      </x:c>
      <x:c r="W138" t="n">
        <x:v>0</x:v>
      </x:c>
      <x:c r="X138" t="n">
        <x:v>0</x:v>
      </x:c>
      <x:c r="Y138" t="n">
        <x:v>0</x:v>
      </x:c>
      <x:c r="Z138" t="n">
        <x:v>0</x:v>
      </x:c>
    </x:row>
    <x:row r="139">
      <x:c r="A139" t="str">
        <x:v>krippendorff2011_computing_krippendorff_s</x:v>
      </x:c>
      <x:c r="B139" t="str">
        <x:v>2011</x:v>
      </x:c>
      <x:c r="C139" t="str">
        <x:v>Computing Krippendorff's Alpha-Reliability</x:v>
      </x:c>
      <x:c r="D139" t="str">
        <x:v>07_Evaluation_Methods</x:v>
      </x:c>
      <x:c r="E139" t="n">
        <x:v>0</x:v>
      </x:c>
      <x:c r="F139" t="n">
        <x:v>0</x:v>
      </x:c>
      <x:c r="G139" t="n">
        <x:v>0</x:v>
      </x:c>
      <x:c r="H139" t="n">
        <x:v>0</x:v>
      </x:c>
      <x:c r="I139" t="n">
        <x:v>0</x:v>
      </x:c>
      <x:c r="J139" t="n">
        <x:v>0</x:v>
      </x:c>
      <x:c r="K139" t="n">
        <x:v>0</x:v>
      </x:c>
      <x:c r="L139" t="n">
        <x:v>0</x:v>
      </x:c>
      <x:c r="M139" t="n">
        <x:v>0</x:v>
      </x:c>
      <x:c r="N139" t="n">
        <x:v>0</x:v>
      </x:c>
      <x:c r="O139" t="n">
        <x:v>0</x:v>
      </x:c>
      <x:c r="P139" t="n">
        <x:v>0</x:v>
      </x:c>
      <x:c r="Q139" t="n">
        <x:v>0</x:v>
      </x:c>
      <x:c r="R139" t="n">
        <x:v>0</x:v>
      </x:c>
      <x:c r="S139" t="n">
        <x:v>0</x:v>
      </x:c>
      <x:c r="T139" t="n">
        <x:v>1</x:v>
      </x:c>
      <x:c r="U139" t="n">
        <x:v>0</x:v>
      </x:c>
      <x:c r="V139" t="n">
        <x:v>0</x:v>
      </x:c>
      <x:c r="W139" t="n">
        <x:v>0</x:v>
      </x:c>
      <x:c r="X139" t="n">
        <x:v>0</x:v>
      </x:c>
      <x:c r="Y139" t="n">
        <x:v>0</x:v>
      </x:c>
      <x:c r="Z139" t="n">
        <x:v>0</x:v>
      </x:c>
    </x:row>
    <x:row r="140">
      <x:c r="A140" t="str">
        <x:v>belz2006_comparing_human_evaluation</x:v>
      </x:c>
      <x:c r="B140" t="str">
        <x:v>2006</x:v>
      </x:c>
      <x:c r="C140" t="str">
        <x:v>Comparing Automatic and Human Evaluation of NLG Systems</x:v>
      </x:c>
      <x:c r="D140" t="str">
        <x:v>07_Evaluation_Methods</x:v>
      </x:c>
      <x:c r="E140" t="n">
        <x:v>0</x:v>
      </x:c>
      <x:c r="F140" t="n">
        <x:v>0</x:v>
      </x:c>
      <x:c r="G140" t="n">
        <x:v>0</x:v>
      </x:c>
      <x:c r="H140" t="n">
        <x:v>0</x:v>
      </x:c>
      <x:c r="I140" t="n">
        <x:v>0</x:v>
      </x:c>
      <x:c r="J140" t="n">
        <x:v>0</x:v>
      </x:c>
      <x:c r="K140" t="n">
        <x:v>0</x:v>
      </x:c>
      <x:c r="L140" t="n">
        <x:v>0</x:v>
      </x:c>
      <x:c r="M140" t="n">
        <x:v>0</x:v>
      </x:c>
      <x:c r="N140" t="n">
        <x:v>0</x:v>
      </x:c>
      <x:c r="O140" t="n">
        <x:v>0</x:v>
      </x:c>
      <x:c r="P140" t="n">
        <x:v>0</x:v>
      </x:c>
      <x:c r="Q140" t="n">
        <x:v>0</x:v>
      </x:c>
      <x:c r="R140" t="n">
        <x:v>0</x:v>
      </x:c>
      <x:c r="S140" t="n">
        <x:v>0</x:v>
      </x:c>
      <x:c r="T140" t="n">
        <x:v>1</x:v>
      </x:c>
      <x:c r="U140" t="n">
        <x:v>0</x:v>
      </x:c>
      <x:c r="V140" t="n">
        <x:v>0</x:v>
      </x:c>
      <x:c r="W140" t="n">
        <x:v>0</x:v>
      </x:c>
      <x:c r="X140" t="n">
        <x:v>0</x:v>
      </x:c>
      <x:c r="Y140" t="n">
        <x:v>0</x:v>
      </x:c>
      <x:c r="Z140" t="n">
        <x:v>0</x:v>
      </x:c>
    </x:row>
    <x:row r="141">
      <x:c r="A141" t="str">
        <x:v>vanderlee2019_best_practices_human</x:v>
      </x:c>
      <x:c r="B141" t="str">
        <x:v>2019</x:v>
      </x:c>
      <x:c r="C141" t="str">
        <x:v>Best Practices for the Human Evaluation of Automatically Generated Text</x:v>
      </x:c>
      <x:c r="D141" t="str">
        <x:v>07_Evaluation_Methods</x:v>
      </x:c>
      <x:c r="E141" t="n">
        <x:v>0</x:v>
      </x:c>
      <x:c r="F141" t="n">
        <x:v>0</x:v>
      </x:c>
      <x:c r="G141" t="n">
        <x:v>0</x:v>
      </x:c>
      <x:c r="H141" t="n">
        <x:v>0</x:v>
      </x:c>
      <x:c r="I141" t="n">
        <x:v>0</x:v>
      </x:c>
      <x:c r="J141" t="n">
        <x:v>0</x:v>
      </x:c>
      <x:c r="K141" t="n">
        <x:v>0</x:v>
      </x:c>
      <x:c r="L141" t="n">
        <x:v>0</x:v>
      </x:c>
      <x:c r="M141" t="n">
        <x:v>0</x:v>
      </x:c>
      <x:c r="N141" t="n">
        <x:v>0</x:v>
      </x:c>
      <x:c r="O141" t="n">
        <x:v>0</x:v>
      </x:c>
      <x:c r="P141" t="n">
        <x:v>0</x:v>
      </x:c>
      <x:c r="Q141" t="n">
        <x:v>0</x:v>
      </x:c>
      <x:c r="R141" t="n">
        <x:v>0</x:v>
      </x:c>
      <x:c r="S141" t="n">
        <x:v>0</x:v>
      </x:c>
      <x:c r="T141" t="n">
        <x:v>1</x:v>
      </x:c>
      <x:c r="U141" t="n">
        <x:v>0</x:v>
      </x:c>
      <x:c r="V141" t="n">
        <x:v>0</x:v>
      </x:c>
      <x:c r="W141" t="n">
        <x:v>0</x:v>
      </x:c>
      <x:c r="X141" t="n">
        <x:v>0</x:v>
      </x:c>
      <x:c r="Y141" t="n">
        <x:v>0</x:v>
      </x:c>
      <x:c r="Z141" t="n">
        <x:v>0</x:v>
      </x:c>
    </x:row>
    <x:row r="142">
      <x:c r="A142" t="str">
        <x:v>howcroft2020_twenty_years_confusion</x:v>
      </x:c>
      <x:c r="B142" t="str">
        <x:v>2020</x:v>
      </x:c>
      <x:c r="C142" t="str">
        <x:v>Twenty Years of Confusion in Human Evaluation: NLG Needs Evaluation Sheets and Standardised Definitions</x:v>
      </x:c>
      <x:c r="D142" t="str">
        <x:v>07_Evaluation_Methods</x:v>
      </x:c>
      <x:c r="E142" t="n">
        <x:v>0</x:v>
      </x:c>
      <x:c r="F142" t="n">
        <x:v>0</x:v>
      </x:c>
      <x:c r="G142" t="n">
        <x:v>0</x:v>
      </x:c>
      <x:c r="H142" t="n">
        <x:v>0</x:v>
      </x:c>
      <x:c r="I142" t="n">
        <x:v>0</x:v>
      </x:c>
      <x:c r="J142" t="n">
        <x:v>0</x:v>
      </x:c>
      <x:c r="K142" t="n">
        <x:v>0</x:v>
      </x:c>
      <x:c r="L142" t="n">
        <x:v>0</x:v>
      </x:c>
      <x:c r="M142" t="n">
        <x:v>0</x:v>
      </x:c>
      <x:c r="N142" t="n">
        <x:v>0</x:v>
      </x:c>
      <x:c r="O142" t="n">
        <x:v>0</x:v>
      </x:c>
      <x:c r="P142" t="n">
        <x:v>0</x:v>
      </x:c>
      <x:c r="Q142" t="n">
        <x:v>0</x:v>
      </x:c>
      <x:c r="R142" t="n">
        <x:v>0</x:v>
      </x:c>
      <x:c r="S142" t="n">
        <x:v>0</x:v>
      </x:c>
      <x:c r="T142" t="n">
        <x:v>1</x:v>
      </x:c>
      <x:c r="U142" t="n">
        <x:v>0</x:v>
      </x:c>
      <x:c r="V142" t="n">
        <x:v>0</x:v>
      </x:c>
      <x:c r="W142" t="n">
        <x:v>0</x:v>
      </x:c>
      <x:c r="X142" t="n">
        <x:v>0</x:v>
      </x:c>
      <x:c r="Y142" t="n">
        <x:v>0</x:v>
      </x:c>
      <x:c r="Z142" t="n">
        <x:v>0</x:v>
      </x:c>
    </x:row>
    <x:row r="143">
      <x:c r="A143" t="str">
        <x:v>flesch1948_readability_yardstick</x:v>
      </x:c>
      <x:c r="B143" t="str">
        <x:v>1948</x:v>
      </x:c>
      <x:c r="C143" t="str">
        <x:v>A New Readability Yardstick</x:v>
      </x:c>
      <x:c r="D143" t="str">
        <x:v>07_Evaluation_Methods</x:v>
      </x:c>
      <x:c r="E143" t="n">
        <x:v>0</x:v>
      </x:c>
      <x:c r="F143" t="n">
        <x:v>1</x:v>
      </x:c>
      <x:c r="G143" t="n">
        <x:v>0</x:v>
      </x:c>
      <x:c r="H143" t="n">
        <x:v>0</x:v>
      </x:c>
      <x:c r="I143" t="n">
        <x:v>0</x:v>
      </x:c>
      <x:c r="J143" t="n">
        <x:v>0</x:v>
      </x:c>
      <x:c r="K143" t="n">
        <x:v>0</x:v>
      </x:c>
      <x:c r="L143" t="n">
        <x:v>0</x:v>
      </x:c>
      <x:c r="M143" t="n">
        <x:v>0</x:v>
      </x:c>
      <x:c r="N143" t="n">
        <x:v>0</x:v>
      </x:c>
      <x:c r="O143" t="n">
        <x:v>0</x:v>
      </x:c>
      <x:c r="P143" t="n">
        <x:v>0</x:v>
      </x:c>
      <x:c r="Q143" t="n">
        <x:v>0</x:v>
      </x:c>
      <x:c r="R143" t="n">
        <x:v>0</x:v>
      </x:c>
      <x:c r="S143" t="n">
        <x:v>0</x:v>
      </x:c>
      <x:c r="T143" t="n">
        <x:v>0</x:v>
      </x:c>
      <x:c r="U143" t="n">
        <x:v>0</x:v>
      </x:c>
      <x:c r="V143" t="n">
        <x:v>0</x:v>
      </x:c>
      <x:c r="W143" t="n">
        <x:v>0</x:v>
      </x:c>
      <x:c r="X143" t="n">
        <x:v>0</x:v>
      </x:c>
      <x:c r="Y143" t="n">
        <x:v>0</x:v>
      </x:c>
      <x:c r="Z143" t="n">
        <x:v>0</x:v>
      </x:c>
    </x:row>
    <x:row r="144">
      <x:c r="A144" t="str">
        <x:v>kincaid1975_derivation_readability_formulas</x:v>
      </x:c>
      <x:c r="B144" t="str">
        <x:v>1975</x:v>
      </x:c>
      <x:c r="C144" t="str">
        <x:v>Derivation of New Readability Formulas for Navy Enlisted Personnel</x:v>
      </x:c>
      <x:c r="D144" t="str">
        <x:v>07_Evaluation_Methods</x:v>
      </x:c>
      <x:c r="E144" t="n">
        <x:v>0</x:v>
      </x:c>
      <x:c r="F144" t="n">
        <x:v>1</x:v>
      </x:c>
      <x:c r="G144" t="n">
        <x:v>0</x:v>
      </x:c>
      <x:c r="H144" t="n">
        <x:v>0</x:v>
      </x:c>
      <x:c r="I144" t="n">
        <x:v>0</x:v>
      </x:c>
      <x:c r="J144" t="n">
        <x:v>0</x:v>
      </x:c>
      <x:c r="K144" t="n">
        <x:v>0</x:v>
      </x:c>
      <x:c r="L144" t="n">
        <x:v>0</x:v>
      </x:c>
      <x:c r="M144" t="n">
        <x:v>0</x:v>
      </x:c>
      <x:c r="N144" t="n">
        <x:v>0</x:v>
      </x:c>
      <x:c r="O144" t="n">
        <x:v>0</x:v>
      </x:c>
      <x:c r="P144" t="n">
        <x:v>0</x:v>
      </x:c>
      <x:c r="Q144" t="n">
        <x:v>0</x:v>
      </x:c>
      <x:c r="R144" t="n">
        <x:v>0</x:v>
      </x:c>
      <x:c r="S144" t="n">
        <x:v>0</x:v>
      </x:c>
      <x:c r="T144" t="n">
        <x:v>0</x:v>
      </x:c>
      <x:c r="U144" t="n">
        <x:v>0</x:v>
      </x:c>
      <x:c r="V144" t="n">
        <x:v>0</x:v>
      </x:c>
      <x:c r="W144" t="n">
        <x:v>0</x:v>
      </x:c>
      <x:c r="X144" t="n">
        <x:v>0</x:v>
      </x:c>
      <x:c r="Y144" t="n">
        <x:v>0</x:v>
      </x:c>
      <x:c r="Z144" t="n">
        <x:v>0</x:v>
      </x:c>
    </x:row>
    <x:row r="145">
      <x:c r="A145" t="str">
        <x:v>mclaughlin1969_smog_grading_readability</x:v>
      </x:c>
      <x:c r="B145" t="str">
        <x:v>1969</x:v>
      </x:c>
      <x:c r="C145" t="str">
        <x:v>SMOG Grading: A New Readability Formula</x:v>
      </x:c>
      <x:c r="D145" t="str">
        <x:v>07_Evaluation_Methods</x:v>
      </x:c>
      <x:c r="E145" t="n">
        <x:v>0</x:v>
      </x:c>
      <x:c r="F145" t="n">
        <x:v>1</x:v>
      </x:c>
      <x:c r="G145" t="n">
        <x:v>0</x:v>
      </x:c>
      <x:c r="H145" t="n">
        <x:v>0</x:v>
      </x:c>
      <x:c r="I145" t="n">
        <x:v>0</x:v>
      </x:c>
      <x:c r="J145" t="n">
        <x:v>0</x:v>
      </x:c>
      <x:c r="K145" t="n">
        <x:v>0</x:v>
      </x:c>
      <x:c r="L145" t="n">
        <x:v>0</x:v>
      </x:c>
      <x:c r="M145" t="n">
        <x:v>0</x:v>
      </x:c>
      <x:c r="N145" t="n">
        <x:v>0</x:v>
      </x:c>
      <x:c r="O145" t="n">
        <x:v>0</x:v>
      </x:c>
      <x:c r="P145" t="n">
        <x:v>0</x:v>
      </x:c>
      <x:c r="Q145" t="n">
        <x:v>0</x:v>
      </x:c>
      <x:c r="R145" t="n">
        <x:v>0</x:v>
      </x:c>
      <x:c r="S145" t="n">
        <x:v>0</x:v>
      </x:c>
      <x:c r="T145" t="n">
        <x:v>0</x:v>
      </x:c>
      <x:c r="U145" t="n">
        <x:v>0</x:v>
      </x:c>
      <x:c r="V145" t="n">
        <x:v>0</x:v>
      </x:c>
      <x:c r="W145" t="n">
        <x:v>0</x:v>
      </x:c>
      <x:c r="X145" t="n">
        <x:v>0</x:v>
      </x:c>
      <x:c r="Y145" t="n">
        <x:v>0</x:v>
      </x:c>
      <x:c r="Z145" t="n">
        <x:v>0</x:v>
      </x:c>
    </x:row>
    <x:row r="146">
      <x:c r="A146" t="str">
        <x:v>dale1948_formula_predicting_readability</x:v>
      </x:c>
      <x:c r="B146" t="str">
        <x:v>1948</x:v>
      </x:c>
      <x:c r="C146" t="str">
        <x:v>A Formula for Predicting Readability</x:v>
      </x:c>
      <x:c r="D146" t="str">
        <x:v>07_Evaluation_Methods</x:v>
      </x:c>
      <x:c r="E146" t="n">
        <x:v>0</x:v>
      </x:c>
      <x:c r="F146" t="n">
        <x:v>1</x:v>
      </x:c>
      <x:c r="G146" t="n">
        <x:v>0</x:v>
      </x:c>
      <x:c r="H146" t="n">
        <x:v>0</x:v>
      </x:c>
      <x:c r="I146" t="n">
        <x:v>0</x:v>
      </x:c>
      <x:c r="J146" t="n">
        <x:v>0</x:v>
      </x:c>
      <x:c r="K146" t="n">
        <x:v>0</x:v>
      </x:c>
      <x:c r="L146" t="n">
        <x:v>0</x:v>
      </x:c>
      <x:c r="M146" t="n">
        <x:v>0</x:v>
      </x:c>
      <x:c r="N146" t="n">
        <x:v>0</x:v>
      </x:c>
      <x:c r="O146" t="n">
        <x:v>0</x:v>
      </x:c>
      <x:c r="P146" t="n">
        <x:v>0</x:v>
      </x:c>
      <x:c r="Q146" t="n">
        <x:v>0</x:v>
      </x:c>
      <x:c r="R146" t="n">
        <x:v>0</x:v>
      </x:c>
      <x:c r="S146" t="n">
        <x:v>0</x:v>
      </x:c>
      <x:c r="T146" t="n">
        <x:v>0</x:v>
      </x:c>
      <x:c r="U146" t="n">
        <x:v>0</x:v>
      </x:c>
      <x:c r="V146" t="n">
        <x:v>0</x:v>
      </x:c>
      <x:c r="W146" t="n">
        <x:v>0</x:v>
      </x:c>
      <x:c r="X146" t="n">
        <x:v>0</x:v>
      </x:c>
      <x:c r="Y146" t="n">
        <x:v>0</x:v>
      </x:c>
      <x:c r="Z146" t="n">
        <x:v>0</x:v>
      </x:c>
    </x:row>
    <x:row r="147">
      <x:c r="A147" t="str">
        <x:v>badarudeen2010_assessing_readability_patient</x:v>
      </x:c>
      <x:c r="B147" t="str">
        <x:v>2010</x:v>
      </x:c>
      <x:c r="C147" t="str">
        <x:v>Assessing Readability of Patient Education Materials: Current Role in Orthopaedics</x:v>
      </x:c>
      <x:c r="D147" t="str">
        <x:v>07_Evaluation_Methods</x:v>
      </x:c>
      <x:c r="E147" t="n">
        <x:v>0</x:v>
      </x:c>
      <x:c r="F147" t="n">
        <x:v>1</x:v>
      </x:c>
      <x:c r="G147" t="n">
        <x:v>0</x:v>
      </x:c>
      <x:c r="H147" t="n">
        <x:v>0</x:v>
      </x:c>
      <x:c r="I147" t="n">
        <x:v>0</x:v>
      </x:c>
      <x:c r="J147" t="n">
        <x:v>0</x:v>
      </x:c>
      <x:c r="K147" t="n">
        <x:v>0</x:v>
      </x:c>
      <x:c r="L147" t="n">
        <x:v>0</x:v>
      </x:c>
      <x:c r="M147" t="n">
        <x:v>0</x:v>
      </x:c>
      <x:c r="N147" t="n">
        <x:v>0</x:v>
      </x:c>
      <x:c r="O147" t="n">
        <x:v>0</x:v>
      </x:c>
      <x:c r="P147" t="n">
        <x:v>0</x:v>
      </x:c>
      <x:c r="Q147" t="n">
        <x:v>0</x:v>
      </x:c>
      <x:c r="R147" t="n">
        <x:v>0</x:v>
      </x:c>
      <x:c r="S147" t="n">
        <x:v>0</x:v>
      </x:c>
      <x:c r="T147" t="n">
        <x:v>0</x:v>
      </x:c>
      <x:c r="U147" t="n">
        <x:v>0</x:v>
      </x:c>
      <x:c r="V147" t="n">
        <x:v>0</x:v>
      </x:c>
      <x:c r="W147" t="n">
        <x:v>0</x:v>
      </x:c>
      <x:c r="X147" t="n">
        <x:v>0</x:v>
      </x:c>
      <x:c r="Y147" t="n">
        <x:v>0</x:v>
      </x:c>
      <x:c r="Z147" t="n">
        <x:v>0</x:v>
      </x:c>
    </x:row>
    <x:row r="148">
      <x:c r="A148" t="str">
        <x:v>weiss2003_health_literacy_manual</x:v>
      </x:c>
      <x:c r="B148" t="str">
        <x:v>2003</x:v>
      </x:c>
      <x:c r="C148" t="str">
        <x:v>Health Literacy: A Manual for Clinicians</x:v>
      </x:c>
      <x:c r="D148" t="str">
        <x:v>07_Evaluation_Methods</x:v>
      </x:c>
      <x:c r="E148" t="n">
        <x:v>0</x:v>
      </x:c>
      <x:c r="F148" t="n">
        <x:v>0</x:v>
      </x:c>
      <x:c r="G148" t="n">
        <x:v>0</x:v>
      </x:c>
      <x:c r="H148" t="n">
        <x:v>0</x:v>
      </x:c>
      <x:c r="I148" t="n">
        <x:v>0</x:v>
      </x:c>
      <x:c r="J148" t="n">
        <x:v>0</x:v>
      </x:c>
      <x:c r="K148" t="n">
        <x:v>0</x:v>
      </x:c>
      <x:c r="L148" t="n">
        <x:v>0</x:v>
      </x:c>
      <x:c r="M148" t="n">
        <x:v>0</x:v>
      </x:c>
      <x:c r="N148" t="n">
        <x:v>0</x:v>
      </x:c>
      <x:c r="O148" t="n">
        <x:v>0</x:v>
      </x:c>
      <x:c r="P148" t="n">
        <x:v>0</x:v>
      </x:c>
      <x:c r="Q148" t="n">
        <x:v>0</x:v>
      </x:c>
      <x:c r="R148" t="n">
        <x:v>0</x:v>
      </x:c>
      <x:c r="S148" t="n">
        <x:v>0</x:v>
      </x:c>
      <x:c r="T148" t="n">
        <x:v>0</x:v>
      </x:c>
      <x:c r="U148" t="n">
        <x:v>0</x:v>
      </x:c>
      <x:c r="V148" t="n">
        <x:v>0</x:v>
      </x:c>
      <x:c r="W148" t="n">
        <x:v>0</x:v>
      </x:c>
      <x:c r="X148" t="n">
        <x:v>1</x:v>
      </x:c>
      <x:c r="Y148" t="n">
        <x:v>0</x:v>
      </x:c>
      <x:c r="Z148" t="n">
        <x:v>0</x:v>
      </x:c>
    </x:row>
    <x:row r="149">
      <x:c r="A149" t="str">
        <x:v>berkman2011_low_health_literacy</x:v>
      </x:c>
      <x:c r="B149" t="str">
        <x:v>2011</x:v>
      </x:c>
      <x:c r="C149" t="str">
        <x:v>Low Health Literacy and Health Outcomes: An Updated Systematic Review</x:v>
      </x:c>
      <x:c r="D149" t="str">
        <x:v>07_Evaluation_Methods</x:v>
      </x:c>
      <x:c r="E149" t="n">
        <x:v>0</x:v>
      </x:c>
      <x:c r="F149" t="n">
        <x:v>0</x:v>
      </x:c>
      <x:c r="G149" t="n">
        <x:v>0</x:v>
      </x:c>
      <x:c r="H149" t="n">
        <x:v>0</x:v>
      </x:c>
      <x:c r="I149" t="n">
        <x:v>0</x:v>
      </x:c>
      <x:c r="J149" t="n">
        <x:v>0</x:v>
      </x:c>
      <x:c r="K149" t="n">
        <x:v>0</x:v>
      </x:c>
      <x:c r="L149" t="n">
        <x:v>0</x:v>
      </x:c>
      <x:c r="M149" t="n">
        <x:v>0</x:v>
      </x:c>
      <x:c r="N149" t="n">
        <x:v>0</x:v>
      </x:c>
      <x:c r="O149" t="n">
        <x:v>0</x:v>
      </x:c>
      <x:c r="P149" t="n">
        <x:v>0</x:v>
      </x:c>
      <x:c r="Q149" t="n">
        <x:v>0</x:v>
      </x:c>
      <x:c r="R149" t="n">
        <x:v>0</x:v>
      </x:c>
      <x:c r="S149" t="n">
        <x:v>0</x:v>
      </x:c>
      <x:c r="T149" t="n">
        <x:v>0</x:v>
      </x:c>
      <x:c r="U149" t="n">
        <x:v>1</x:v>
      </x:c>
      <x:c r="V149" t="n">
        <x:v>0</x:v>
      </x:c>
      <x:c r="W149" t="n">
        <x:v>0</x:v>
      </x:c>
      <x:c r="X149" t="n">
        <x:v>1</x:v>
      </x:c>
      <x:c r="Y149" t="n">
        <x:v>0</x:v>
      </x:c>
      <x:c r="Z149" t="n">
        <x:v>0</x:v>
      </x:c>
    </x:row>
    <x:row r="150">
      <x:c r="A150" t="str">
        <x:v>page2021_prisma_2020_statement</x:v>
      </x:c>
      <x:c r="B150" t="str">
        <x:v>2021</x:v>
      </x:c>
      <x:c r="C150" t="str">
        <x:v>The PRISMA 2020 Statement: An Updated Guideline for Reporting Systematic Reviews</x:v>
      </x:c>
      <x:c r="D150" t="str">
        <x:v>08_Systematic_Review_Methods</x:v>
      </x:c>
      <x:c r="E150" t="n">
        <x:v>0</x:v>
      </x:c>
      <x:c r="F150" t="n">
        <x:v>0</x:v>
      </x:c>
      <x:c r="G150" t="n">
        <x:v>0</x:v>
      </x:c>
      <x:c r="H150" t="n">
        <x:v>0</x:v>
      </x:c>
      <x:c r="I150" t="n">
        <x:v>0</x:v>
      </x:c>
      <x:c r="J150" t="n">
        <x:v>0</x:v>
      </x:c>
      <x:c r="K150" t="n">
        <x:v>0</x:v>
      </x:c>
      <x:c r="L150" t="n">
        <x:v>0</x:v>
      </x:c>
      <x:c r="M150" t="n">
        <x:v>0</x:v>
      </x:c>
      <x:c r="N150" t="n">
        <x:v>0</x:v>
      </x:c>
      <x:c r="O150" t="n">
        <x:v>0</x:v>
      </x:c>
      <x:c r="P150" t="n">
        <x:v>0</x:v>
      </x:c>
      <x:c r="Q150" t="n">
        <x:v>0</x:v>
      </x:c>
      <x:c r="R150" t="n">
        <x:v>0</x:v>
      </x:c>
      <x:c r="S150" t="n">
        <x:v>0</x:v>
      </x:c>
      <x:c r="T150" t="n">
        <x:v>0</x:v>
      </x:c>
      <x:c r="U150" t="n">
        <x:v>1</x:v>
      </x:c>
      <x:c r="V150" t="n">
        <x:v>0</x:v>
      </x:c>
      <x:c r="W150" t="n">
        <x:v>0</x:v>
      </x:c>
      <x:c r="X150" t="n">
        <x:v>0</x:v>
      </x:c>
      <x:c r="Y150" t="n">
        <x:v>0</x:v>
      </x:c>
      <x:c r="Z150" t="n">
        <x:v>0</x:v>
      </x:c>
    </x:row>
    <x:row r="151">
      <x:c r="A151" t="str">
        <x:v>rethlefsen2021_prisma_s_extension</x:v>
      </x:c>
      <x:c r="B151" t="str">
        <x:v>2021</x:v>
      </x:c>
      <x:c r="C151" t="str">
        <x:v>PRISMA-S: An Extension to the PRISMA Statement for Reporting Literature Searches in Systematic Reviews</x:v>
      </x:c>
      <x:c r="D151" t="str">
        <x:v>08_Systematic_Review_Methods</x:v>
      </x:c>
      <x:c r="E151" t="n">
        <x:v>0</x:v>
      </x:c>
      <x:c r="F151" t="n">
        <x:v>0</x:v>
      </x:c>
      <x:c r="G151" t="n">
        <x:v>0</x:v>
      </x:c>
      <x:c r="H151" t="n">
        <x:v>0</x:v>
      </x:c>
      <x:c r="I151" t="n">
        <x:v>0</x:v>
      </x:c>
      <x:c r="J151" t="n">
        <x:v>0</x:v>
      </x:c>
      <x:c r="K151" t="n">
        <x:v>0</x:v>
      </x:c>
      <x:c r="L151" t="n">
        <x:v>0</x:v>
      </x:c>
      <x:c r="M151" t="n">
        <x:v>0</x:v>
      </x:c>
      <x:c r="N151" t="n">
        <x:v>0</x:v>
      </x:c>
      <x:c r="O151" t="n">
        <x:v>0</x:v>
      </x:c>
      <x:c r="P151" t="n">
        <x:v>0</x:v>
      </x:c>
      <x:c r="Q151" t="n">
        <x:v>0</x:v>
      </x:c>
      <x:c r="R151" t="n">
        <x:v>0</x:v>
      </x:c>
      <x:c r="S151" t="n">
        <x:v>0</x:v>
      </x:c>
      <x:c r="T151" t="n">
        <x:v>0</x:v>
      </x:c>
      <x:c r="U151" t="n">
        <x:v>1</x:v>
      </x:c>
      <x:c r="V151" t="n">
        <x:v>0</x:v>
      </x:c>
      <x:c r="W151" t="n">
        <x:v>0</x:v>
      </x:c>
      <x:c r="X151" t="n">
        <x:v>0</x:v>
      </x:c>
      <x:c r="Y151" t="n">
        <x:v>0</x:v>
      </x:c>
      <x:c r="Z151" t="n">
        <x:v>0</x:v>
      </x:c>
    </x:row>
    <x:row r="152">
      <x:c r="A152" t="str">
        <x:v>campbell2020_synthesis_without_meta</x:v>
      </x:c>
      <x:c r="B152" t="str">
        <x:v>2020</x:v>
      </x:c>
      <x:c r="C152" t="str">
        <x:v>Synthesis without Meta-analysis (SWiM) in Systematic Reviews: Reporting Guideline</x:v>
      </x:c>
      <x:c r="D152" t="str">
        <x:v>08_Systematic_Review_Methods</x:v>
      </x:c>
      <x:c r="E152" t="n">
        <x:v>0</x:v>
      </x:c>
      <x:c r="F152" t="n">
        <x:v>0</x:v>
      </x:c>
      <x:c r="G152" t="n">
        <x:v>0</x:v>
      </x:c>
      <x:c r="H152" t="n">
        <x:v>0</x:v>
      </x:c>
      <x:c r="I152" t="n">
        <x:v>0</x:v>
      </x:c>
      <x:c r="J152" t="n">
        <x:v>0</x:v>
      </x:c>
      <x:c r="K152" t="n">
        <x:v>0</x:v>
      </x:c>
      <x:c r="L152" t="n">
        <x:v>0</x:v>
      </x:c>
      <x:c r="M152" t="n">
        <x:v>0</x:v>
      </x:c>
      <x:c r="N152" t="n">
        <x:v>0</x:v>
      </x:c>
      <x:c r="O152" t="n">
        <x:v>0</x:v>
      </x:c>
      <x:c r="P152" t="n">
        <x:v>0</x:v>
      </x:c>
      <x:c r="Q152" t="n">
        <x:v>0</x:v>
      </x:c>
      <x:c r="R152" t="n">
        <x:v>0</x:v>
      </x:c>
      <x:c r="S152" t="n">
        <x:v>0</x:v>
      </x:c>
      <x:c r="T152" t="n">
        <x:v>0</x:v>
      </x:c>
      <x:c r="U152" t="n">
        <x:v>1</x:v>
      </x:c>
      <x:c r="V152" t="n">
        <x:v>0</x:v>
      </x:c>
      <x:c r="W152" t="n">
        <x:v>0</x:v>
      </x:c>
      <x:c r="X152" t="n">
        <x:v>0</x:v>
      </x:c>
      <x:c r="Y152" t="n">
        <x:v>0</x:v>
      </x:c>
      <x:c r="Z152" t="n">
        <x:v>0</x:v>
      </x:c>
    </x:row>
    <x:row r="153">
      <x:c r="A153" t="str">
        <x:v>guyatt2008_grade_emerging_consensus</x:v>
      </x:c>
      <x:c r="B153" t="str">
        <x:v>2008</x:v>
      </x:c>
      <x:c r="C153" t="str">
        <x:v>GRADE: An Emerging Consensus on Rating Quality of Evidence and Strength of Recommendations</x:v>
      </x:c>
      <x:c r="D153" t="str">
        <x:v>08_Systematic_Review_Methods</x:v>
      </x:c>
      <x:c r="E153" t="n">
        <x:v>0</x:v>
      </x:c>
      <x:c r="F153" t="n">
        <x:v>0</x:v>
      </x:c>
      <x:c r="G153" t="n">
        <x:v>0</x:v>
      </x:c>
      <x:c r="H153" t="n">
        <x:v>0</x:v>
      </x:c>
      <x:c r="I153" t="n">
        <x:v>0</x:v>
      </x:c>
      <x:c r="J153" t="n">
        <x:v>0</x:v>
      </x:c>
      <x:c r="K153" t="n">
        <x:v>0</x:v>
      </x:c>
      <x:c r="L153" t="n">
        <x:v>0</x:v>
      </x:c>
      <x:c r="M153" t="n">
        <x:v>0</x:v>
      </x:c>
      <x:c r="N153" t="n">
        <x:v>0</x:v>
      </x:c>
      <x:c r="O153" t="n">
        <x:v>0</x:v>
      </x:c>
      <x:c r="P153" t="n">
        <x:v>0</x:v>
      </x:c>
      <x:c r="Q153" t="n">
        <x:v>0</x:v>
      </x:c>
      <x:c r="R153" t="n">
        <x:v>0</x:v>
      </x:c>
      <x:c r="S153" t="n">
        <x:v>0</x:v>
      </x:c>
      <x:c r="T153" t="n">
        <x:v>0</x:v>
      </x:c>
      <x:c r="U153" t="n">
        <x:v>1</x:v>
      </x:c>
      <x:c r="V153" t="n">
        <x:v>0</x:v>
      </x:c>
      <x:c r="W153" t="n">
        <x:v>0</x:v>
      </x:c>
      <x:c r="X153" t="n">
        <x:v>0</x:v>
      </x:c>
      <x:c r="Y153" t="n">
        <x:v>0</x:v>
      </x:c>
      <x:c r="Z153" t="n">
        <x:v>0</x:v>
      </x:c>
    </x:row>
    <x:row r="154">
      <x:c r="A154" t="str">
        <x:v>sterne2019_rob_2_revised</x:v>
      </x:c>
      <x:c r="B154" t="str">
        <x:v>2019</x:v>
      </x:c>
      <x:c r="C154" t="str">
        <x:v>RoB 2: A Revised Tool for Assessing Risk of Bias in Randomised Trials</x:v>
      </x:c>
      <x:c r="D154" t="str">
        <x:v>08_Systematic_Review_Methods</x:v>
      </x:c>
      <x:c r="E154" t="n">
        <x:v>0</x:v>
      </x:c>
      <x:c r="F154" t="n">
        <x:v>0</x:v>
      </x:c>
      <x:c r="G154" t="n">
        <x:v>0</x:v>
      </x:c>
      <x:c r="H154" t="n">
        <x:v>0</x:v>
      </x:c>
      <x:c r="I154" t="n">
        <x:v>0</x:v>
      </x:c>
      <x:c r="J154" t="n">
        <x:v>0</x:v>
      </x:c>
      <x:c r="K154" t="n">
        <x:v>0</x:v>
      </x:c>
      <x:c r="L154" t="n">
        <x:v>0</x:v>
      </x:c>
      <x:c r="M154" t="n">
        <x:v>0</x:v>
      </x:c>
      <x:c r="N154" t="n">
        <x:v>0</x:v>
      </x:c>
      <x:c r="O154" t="n">
        <x:v>0</x:v>
      </x:c>
      <x:c r="P154" t="n">
        <x:v>0</x:v>
      </x:c>
      <x:c r="Q154" t="n">
        <x:v>0</x:v>
      </x:c>
      <x:c r="R154" t="n">
        <x:v>0</x:v>
      </x:c>
      <x:c r="S154" t="n">
        <x:v>0</x:v>
      </x:c>
      <x:c r="T154" t="n">
        <x:v>0</x:v>
      </x:c>
      <x:c r="U154" t="n">
        <x:v>0</x:v>
      </x:c>
      <x:c r="V154" t="n">
        <x:v>0</x:v>
      </x:c>
      <x:c r="W154" t="n">
        <x:v>0</x:v>
      </x:c>
      <x:c r="X154" t="n">
        <x:v>0</x:v>
      </x:c>
      <x:c r="Y154" t="n">
        <x:v>0</x:v>
      </x:c>
      <x:c r="Z154" t="n">
        <x:v>0</x:v>
      </x:c>
    </x:row>
    <x:row r="155">
      <x:c r="A155" t="str">
        <x:v>sterne2016_robins_i_tool</x:v>
      </x:c>
      <x:c r="B155" t="str">
        <x:v>2016</x:v>
      </x:c>
      <x:c r="C155" t="str">
        <x:v>ROBINS-I: A Tool for Assessing Risk of Bias in Non-randomised Studies of Interventions</x:v>
      </x:c>
      <x:c r="D155" t="str">
        <x:v>08_Systematic_Review_Methods</x:v>
      </x:c>
      <x:c r="E155" t="n">
        <x:v>0</x:v>
      </x:c>
      <x:c r="F155" t="n">
        <x:v>0</x:v>
      </x:c>
      <x:c r="G155" t="n">
        <x:v>0</x:v>
      </x:c>
      <x:c r="H155" t="n">
        <x:v>0</x:v>
      </x:c>
      <x:c r="I155" t="n">
        <x:v>0</x:v>
      </x:c>
      <x:c r="J155" t="n">
        <x:v>0</x:v>
      </x:c>
      <x:c r="K155" t="n">
        <x:v>0</x:v>
      </x:c>
      <x:c r="L155" t="n">
        <x:v>0</x:v>
      </x:c>
      <x:c r="M155" t="n">
        <x:v>0</x:v>
      </x:c>
      <x:c r="N155" t="n">
        <x:v>0</x:v>
      </x:c>
      <x:c r="O155" t="n">
        <x:v>0</x:v>
      </x:c>
      <x:c r="P155" t="n">
        <x:v>0</x:v>
      </x:c>
      <x:c r="Q155" t="n">
        <x:v>0</x:v>
      </x:c>
      <x:c r="R155" t="n">
        <x:v>0</x:v>
      </x:c>
      <x:c r="S155" t="n">
        <x:v>0</x:v>
      </x:c>
      <x:c r="T155" t="n">
        <x:v>0</x:v>
      </x:c>
      <x:c r="U155" t="n">
        <x:v>0</x:v>
      </x:c>
      <x:c r="V155" t="n">
        <x:v>0</x:v>
      </x:c>
      <x:c r="W155" t="n">
        <x:v>0</x:v>
      </x:c>
      <x:c r="X155" t="n">
        <x:v>0</x:v>
      </x:c>
      <x:c r="Y155" t="n">
        <x:v>0</x:v>
      </x:c>
      <x:c r="Z155" t="n">
        <x:v>0</x:v>
      </x:c>
    </x:row>
    <x:row r="156">
      <x:c r="A156" t="str">
        <x:v>shea2017_amstar_2_critical</x:v>
      </x:c>
      <x:c r="B156" t="str">
        <x:v>2017</x:v>
      </x:c>
      <x:c r="C156" t="str">
        <x:v>AMSTAR 2: A Critical Appraisal Tool for Systematic Reviews That Include Randomised or Non-randomised Studies of Healthcare Interventions, or Both</x:v>
      </x:c>
      <x:c r="D156" t="str">
        <x:v>08_Systematic_Review_Methods</x:v>
      </x:c>
      <x:c r="E156" t="n">
        <x:v>0</x:v>
      </x:c>
      <x:c r="F156" t="n">
        <x:v>0</x:v>
      </x:c>
      <x:c r="G156" t="n">
        <x:v>0</x:v>
      </x:c>
      <x:c r="H156" t="n">
        <x:v>0</x:v>
      </x:c>
      <x:c r="I156" t="n">
        <x:v>0</x:v>
      </x:c>
      <x:c r="J156" t="n">
        <x:v>0</x:v>
      </x:c>
      <x:c r="K156" t="n">
        <x:v>0</x:v>
      </x:c>
      <x:c r="L156" t="n">
        <x:v>0</x:v>
      </x:c>
      <x:c r="M156" t="n">
        <x:v>0</x:v>
      </x:c>
      <x:c r="N156" t="n">
        <x:v>0</x:v>
      </x:c>
      <x:c r="O156" t="n">
        <x:v>0</x:v>
      </x:c>
      <x:c r="P156" t="n">
        <x:v>0</x:v>
      </x:c>
      <x:c r="Q156" t="n">
        <x:v>0</x:v>
      </x:c>
      <x:c r="R156" t="n">
        <x:v>0</x:v>
      </x:c>
      <x:c r="S156" t="n">
        <x:v>0</x:v>
      </x:c>
      <x:c r="T156" t="n">
        <x:v>0</x:v>
      </x:c>
      <x:c r="U156" t="n">
        <x:v>1</x:v>
      </x:c>
      <x:c r="V156" t="n">
        <x:v>0</x:v>
      </x:c>
      <x:c r="W156" t="n">
        <x:v>0</x:v>
      </x:c>
      <x:c r="X156" t="n">
        <x:v>0</x:v>
      </x:c>
      <x:c r="Y156" t="n">
        <x:v>0</x:v>
      </x:c>
      <x:c r="Z156" t="n">
        <x:v>0</x:v>
      </x:c>
    </x:row>
    <x:row r="157">
      <x:c r="A157" t="str">
        <x:v>cooke2012_beyond_pico_spider</x:v>
      </x:c>
      <x:c r="B157" t="str">
        <x:v>2012</x:v>
      </x:c>
      <x:c r="C157" t="str">
        <x:v>Beyond PICO: The SPIDER Tool for Qualitative Evidence Synthesis</x:v>
      </x:c>
      <x:c r="D157" t="str">
        <x:v>08_Systematic_Review_Methods</x:v>
      </x:c>
      <x:c r="E157" t="n">
        <x:v>0</x:v>
      </x:c>
      <x:c r="F157" t="n">
        <x:v>0</x:v>
      </x:c>
      <x:c r="G157" t="n">
        <x:v>0</x:v>
      </x:c>
      <x:c r="H157" t="n">
        <x:v>0</x:v>
      </x:c>
      <x:c r="I157" t="n">
        <x:v>0</x:v>
      </x:c>
      <x:c r="J157" t="n">
        <x:v>0</x:v>
      </x:c>
      <x:c r="K157" t="n">
        <x:v>0</x:v>
      </x:c>
      <x:c r="L157" t="n">
        <x:v>0</x:v>
      </x:c>
      <x:c r="M157" t="n">
        <x:v>0</x:v>
      </x:c>
      <x:c r="N157" t="n">
        <x:v>0</x:v>
      </x:c>
      <x:c r="O157" t="n">
        <x:v>0</x:v>
      </x:c>
      <x:c r="P157" t="n">
        <x:v>0</x:v>
      </x:c>
      <x:c r="Q157" t="n">
        <x:v>0</x:v>
      </x:c>
      <x:c r="R157" t="n">
        <x:v>0</x:v>
      </x:c>
      <x:c r="S157" t="n">
        <x:v>0</x:v>
      </x:c>
      <x:c r="T157" t="n">
        <x:v>0</x:v>
      </x:c>
      <x:c r="U157" t="n">
        <x:v>1</x:v>
      </x:c>
      <x:c r="V157" t="n">
        <x:v>0</x:v>
      </x:c>
      <x:c r="W157" t="n">
        <x:v>0</x:v>
      </x:c>
      <x:c r="X157" t="n">
        <x:v>0</x:v>
      </x:c>
      <x:c r="Y157" t="n">
        <x:v>0</x:v>
      </x:c>
      <x:c r="Z157" t="n">
        <x:v>0</x:v>
      </x:c>
    </x:row>
    <x:row r="158">
      <x:c r="A158" t="str">
        <x:v>thomas2008_thematic_synthesis_qualitative</x:v>
      </x:c>
      <x:c r="B158" t="str">
        <x:v>2008</x:v>
      </x:c>
      <x:c r="C158" t="str">
        <x:v>Methods for the Thematic Synthesis of Qualitative Research in Systematic Reviews</x:v>
      </x:c>
      <x:c r="D158" t="str">
        <x:v>08_Systematic_Review_Methods</x:v>
      </x:c>
      <x:c r="E158" t="n">
        <x:v>0</x:v>
      </x:c>
      <x:c r="F158" t="n">
        <x:v>0</x:v>
      </x:c>
      <x:c r="G158" t="n">
        <x:v>0</x:v>
      </x:c>
      <x:c r="H158" t="n">
        <x:v>0</x:v>
      </x:c>
      <x:c r="I158" t="n">
        <x:v>0</x:v>
      </x:c>
      <x:c r="J158" t="n">
        <x:v>0</x:v>
      </x:c>
      <x:c r="K158" t="n">
        <x:v>0</x:v>
      </x:c>
      <x:c r="L158" t="n">
        <x:v>0</x:v>
      </x:c>
      <x:c r="M158" t="n">
        <x:v>0</x:v>
      </x:c>
      <x:c r="N158" t="n">
        <x:v>0</x:v>
      </x:c>
      <x:c r="O158" t="n">
        <x:v>0</x:v>
      </x:c>
      <x:c r="P158" t="n">
        <x:v>0</x:v>
      </x:c>
      <x:c r="Q158" t="n">
        <x:v>0</x:v>
      </x:c>
      <x:c r="R158" t="n">
        <x:v>0</x:v>
      </x:c>
      <x:c r="S158" t="n">
        <x:v>0</x:v>
      </x:c>
      <x:c r="T158" t="n">
        <x:v>0</x:v>
      </x:c>
      <x:c r="U158" t="n">
        <x:v>1</x:v>
      </x:c>
      <x:c r="V158" t="n">
        <x:v>0</x:v>
      </x:c>
      <x:c r="W158" t="n">
        <x:v>0</x:v>
      </x:c>
      <x:c r="X158" t="n">
        <x:v>0</x:v>
      </x:c>
      <x:c r="Y158" t="n">
        <x:v>0</x:v>
      </x:c>
      <x:c r="Z158" t="n">
        <x:v>0</x:v>
      </x:c>
    </x:row>
    <x:row r="159">
      <x:c r="A159" t="str">
        <x:v>haddaway2022_prisma2020_r_package</x:v>
      </x:c>
      <x:c r="B159" t="str">
        <x:v>2022</x:v>
      </x:c>
      <x:c r="C159" t="str">
        <x:v>PRISMA2020: An R Package and Shiny App for Producing PRISMA 2020-compliant Flow Diagrams</x:v>
      </x:c>
      <x:c r="D159" t="str">
        <x:v>08_Systematic_Review_Methods</x:v>
      </x:c>
      <x:c r="E159" t="n">
        <x:v>0</x:v>
      </x:c>
      <x:c r="F159" t="n">
        <x:v>0</x:v>
      </x:c>
      <x:c r="G159" t="n">
        <x:v>0</x:v>
      </x:c>
      <x:c r="H159" t="n">
        <x:v>0</x:v>
      </x:c>
      <x:c r="I159" t="n">
        <x:v>0</x:v>
      </x:c>
      <x:c r="J159" t="n">
        <x:v>0</x:v>
      </x:c>
      <x:c r="K159" t="n">
        <x:v>0</x:v>
      </x:c>
      <x:c r="L159" t="n">
        <x:v>0</x:v>
      </x:c>
      <x:c r="M159" t="n">
        <x:v>0</x:v>
      </x:c>
      <x:c r="N159" t="n">
        <x:v>0</x:v>
      </x:c>
      <x:c r="O159" t="n">
        <x:v>0</x:v>
      </x:c>
      <x:c r="P159" t="n">
        <x:v>0</x:v>
      </x:c>
      <x:c r="Q159" t="n">
        <x:v>0</x:v>
      </x:c>
      <x:c r="R159" t="n">
        <x:v>0</x:v>
      </x:c>
      <x:c r="S159" t="n">
        <x:v>0</x:v>
      </x:c>
      <x:c r="T159" t="n">
        <x:v>0</x:v>
      </x:c>
      <x:c r="U159" t="n">
        <x:v>1</x:v>
      </x:c>
      <x:c r="V159" t="n">
        <x:v>0</x:v>
      </x:c>
      <x:c r="W159" t="n">
        <x:v>0</x:v>
      </x:c>
      <x:c r="X159" t="n">
        <x:v>0</x:v>
      </x:c>
      <x:c r="Y159" t="n">
        <x:v>0</x:v>
      </x:c>
      <x:c r="Z159" t="n">
        <x:v>0</x:v>
      </x:c>
    </x:row>
    <x:row r="160">
      <x:c r="A160" t="str">
        <x:v>ouzzani2016_rayyan_web_mobile</x:v>
      </x:c>
      <x:c r="B160" t="str">
        <x:v>2016</x:v>
      </x:c>
      <x:c r="C160" t="str">
        <x:v>Rayyan: A Web and Mobile App for Systematic Reviews</x:v>
      </x:c>
      <x:c r="D160" t="str">
        <x:v>08_Systematic_Review_Methods</x:v>
      </x:c>
      <x:c r="E160" t="n">
        <x:v>0</x:v>
      </x:c>
      <x:c r="F160" t="n">
        <x:v>0</x:v>
      </x:c>
      <x:c r="G160" t="n">
        <x:v>0</x:v>
      </x:c>
      <x:c r="H160" t="n">
        <x:v>0</x:v>
      </x:c>
      <x:c r="I160" t="n">
        <x:v>0</x:v>
      </x:c>
      <x:c r="J160" t="n">
        <x:v>0</x:v>
      </x:c>
      <x:c r="K160" t="n">
        <x:v>0</x:v>
      </x:c>
      <x:c r="L160" t="n">
        <x:v>0</x:v>
      </x:c>
      <x:c r="M160" t="n">
        <x:v>0</x:v>
      </x:c>
      <x:c r="N160" t="n">
        <x:v>0</x:v>
      </x:c>
      <x:c r="O160" t="n">
        <x:v>0</x:v>
      </x:c>
      <x:c r="P160" t="n">
        <x:v>0</x:v>
      </x:c>
      <x:c r="Q160" t="n">
        <x:v>0</x:v>
      </x:c>
      <x:c r="R160" t="n">
        <x:v>0</x:v>
      </x:c>
      <x:c r="S160" t="n">
        <x:v>0</x:v>
      </x:c>
      <x:c r="T160" t="n">
        <x:v>0</x:v>
      </x:c>
      <x:c r="U160" t="n">
        <x:v>1</x:v>
      </x:c>
      <x:c r="V160" t="n">
        <x:v>0</x:v>
      </x:c>
      <x:c r="W160" t="n">
        <x:v>0</x:v>
      </x:c>
      <x:c r="X160" t="n">
        <x:v>0</x:v>
      </x:c>
      <x:c r="Y160" t="n">
        <x:v>0</x:v>
      </x:c>
      <x:c r="Z160" t="n">
        <x:v>0</x:v>
      </x:c>
    </x:row>
    <x:row r="161">
      <x:c r="A161" t="str">
        <x:v>aria2017_bibliometrix_r_tool</x:v>
      </x:c>
      <x:c r="B161" t="str">
        <x:v>2017</x:v>
      </x:c>
      <x:c r="C161" t="str">
        <x:v>Bibliometrix: An R-tool for Comprehensive Science Mapping Analysis</x:v>
      </x:c>
      <x:c r="D161" t="str">
        <x:v>08_Systematic_Review_Methods</x:v>
      </x:c>
      <x:c r="E161" t="n">
        <x:v>0</x:v>
      </x:c>
      <x:c r="F161" t="n">
        <x:v>0</x:v>
      </x:c>
      <x:c r="G161" t="n">
        <x:v>0</x:v>
      </x:c>
      <x:c r="H161" t="n">
        <x:v>0</x:v>
      </x:c>
      <x:c r="I161" t="n">
        <x:v>0</x:v>
      </x:c>
      <x:c r="J161" t="n">
        <x:v>0</x:v>
      </x:c>
      <x:c r="K161" t="n">
        <x:v>0</x:v>
      </x:c>
      <x:c r="L161" t="n">
        <x:v>0</x:v>
      </x:c>
      <x:c r="M161" t="n">
        <x:v>0</x:v>
      </x:c>
      <x:c r="N161" t="n">
        <x:v>0</x:v>
      </x:c>
      <x:c r="O161" t="n">
        <x:v>0</x:v>
      </x:c>
      <x:c r="P161" t="n">
        <x:v>0</x:v>
      </x:c>
      <x:c r="Q161" t="n">
        <x:v>0</x:v>
      </x:c>
      <x:c r="R161" t="n">
        <x:v>0</x:v>
      </x:c>
      <x:c r="S161" t="n">
        <x:v>0</x:v>
      </x:c>
      <x:c r="T161" t="n">
        <x:v>0</x:v>
      </x:c>
      <x:c r="U161" t="n">
        <x:v>0</x:v>
      </x:c>
      <x:c r="V161" t="n">
        <x:v>0</x:v>
      </x:c>
      <x:c r="W161" t="n">
        <x:v>0</x:v>
      </x:c>
      <x:c r="X161" t="n">
        <x:v>0</x:v>
      </x:c>
      <x:c r="Y161" t="n">
        <x:v>0</x:v>
      </x:c>
      <x:c r="Z161" t="n">
        <x:v>0</x:v>
      </x:c>
    </x:row>
    <x:row r="162">
      <x:c r="A162" t="str">
        <x:v>vaneck2010_software_vosviewer_computer</x:v>
      </x:c>
      <x:c r="B162" t="str">
        <x:v>2010</x:v>
      </x:c>
      <x:c r="C162" t="str">
        <x:v>Software Survey: VOSviewer, a Computer Program for Bibliometric Mapping</x:v>
      </x:c>
      <x:c r="D162" t="str">
        <x:v>08_Systematic_Review_Methods</x:v>
      </x:c>
      <x:c r="E162" t="n">
        <x:v>0</x:v>
      </x:c>
      <x:c r="F162" t="n">
        <x:v>0</x:v>
      </x:c>
      <x:c r="G162" t="n">
        <x:v>0</x:v>
      </x:c>
      <x:c r="H162" t="n">
        <x:v>0</x:v>
      </x:c>
      <x:c r="I162" t="n">
        <x:v>0</x:v>
      </x:c>
      <x:c r="J162" t="n">
        <x:v>0</x:v>
      </x:c>
      <x:c r="K162" t="n">
        <x:v>0</x:v>
      </x:c>
      <x:c r="L162" t="n">
        <x:v>0</x:v>
      </x:c>
      <x:c r="M162" t="n">
        <x:v>0</x:v>
      </x:c>
      <x:c r="N162" t="n">
        <x:v>0</x:v>
      </x:c>
      <x:c r="O162" t="n">
        <x:v>0</x:v>
      </x:c>
      <x:c r="P162" t="n">
        <x:v>0</x:v>
      </x:c>
      <x:c r="Q162" t="n">
        <x:v>0</x:v>
      </x:c>
      <x:c r="R162" t="n">
        <x:v>0</x:v>
      </x:c>
      <x:c r="S162" t="n">
        <x:v>0</x:v>
      </x:c>
      <x:c r="T162" t="n">
        <x:v>0</x:v>
      </x:c>
      <x:c r="U162" t="n">
        <x:v>0</x:v>
      </x:c>
      <x:c r="V162" t="n">
        <x:v>0</x:v>
      </x:c>
      <x:c r="W162" t="n">
        <x:v>0</x:v>
      </x:c>
      <x:c r="X162" t="n">
        <x:v>0</x:v>
      </x:c>
      <x:c r="Y162" t="n">
        <x:v>0</x:v>
      </x:c>
      <x:c r="Z162" t="n">
        <x:v>0</x:v>
      </x:c>
    </x:row>
    <x:row r="163">
      <x:c r="A163" t="str">
        <x:v>moher2009_preferred_reporting_items</x:v>
      </x:c>
      <x:c r="B163" t="str">
        <x:v>2009</x:v>
      </x:c>
      <x:c r="C163" t="str">
        <x:v>Preferred Reporting Items for Systematic Reviews and Meta-Analyses: The PRISMA Statement</x:v>
      </x:c>
      <x:c r="D163" t="str">
        <x:v>08_Systematic_Review_Methods</x:v>
      </x:c>
      <x:c r="E163" t="n">
        <x:v>0</x:v>
      </x:c>
      <x:c r="F163" t="n">
        <x:v>0</x:v>
      </x:c>
      <x:c r="G163" t="n">
        <x:v>0</x:v>
      </x:c>
      <x:c r="H163" t="n">
        <x:v>0</x:v>
      </x:c>
      <x:c r="I163" t="n">
        <x:v>0</x:v>
      </x:c>
      <x:c r="J163" t="n">
        <x:v>0</x:v>
      </x:c>
      <x:c r="K163" t="n">
        <x:v>0</x:v>
      </x:c>
      <x:c r="L163" t="n">
        <x:v>0</x:v>
      </x:c>
      <x:c r="M163" t="n">
        <x:v>0</x:v>
      </x:c>
      <x:c r="N163" t="n">
        <x:v>0</x:v>
      </x:c>
      <x:c r="O163" t="n">
        <x:v>0</x:v>
      </x:c>
      <x:c r="P163" t="n">
        <x:v>0</x:v>
      </x:c>
      <x:c r="Q163" t="n">
        <x:v>0</x:v>
      </x:c>
      <x:c r="R163" t="n">
        <x:v>0</x:v>
      </x:c>
      <x:c r="S163" t="n">
        <x:v>0</x:v>
      </x:c>
      <x:c r="T163" t="n">
        <x:v>0</x:v>
      </x:c>
      <x:c r="U163" t="n">
        <x:v>1</x:v>
      </x:c>
      <x:c r="V163" t="n">
        <x:v>0</x:v>
      </x:c>
      <x:c r="W163" t="n">
        <x:v>0</x:v>
      </x:c>
      <x:c r="X163" t="n">
        <x:v>0</x:v>
      </x:c>
      <x:c r="Y163" t="n">
        <x:v>0</x:v>
      </x:c>
      <x:c r="Z163" t="n">
        <x:v>0</x:v>
      </x:c>
    </x:row>
    <x:row r="164">
      <x:c r="A164" t="str">
        <x:v>higgins2023_cochrane_handbook_systematic</x:v>
      </x:c>
      <x:c r="B164" t="str">
        <x:v>2023</x:v>
      </x:c>
      <x:c r="C164" t="str">
        <x:v>Cochrane Handbook for Systematic Reviews of Interventions</x:v>
      </x:c>
      <x:c r="D164" t="str">
        <x:v>08_Systematic_Review_Methods</x:v>
      </x:c>
      <x:c r="E164" t="n">
        <x:v>0</x:v>
      </x:c>
      <x:c r="F164" t="n">
        <x:v>0</x:v>
      </x:c>
      <x:c r="G164" t="n">
        <x:v>0</x:v>
      </x:c>
      <x:c r="H164" t="n">
        <x:v>0</x:v>
      </x:c>
      <x:c r="I164" t="n">
        <x:v>0</x:v>
      </x:c>
      <x:c r="J164" t="n">
        <x:v>0</x:v>
      </x:c>
      <x:c r="K164" t="n">
        <x:v>0</x:v>
      </x:c>
      <x:c r="L164" t="n">
        <x:v>0</x:v>
      </x:c>
      <x:c r="M164" t="n">
        <x:v>0</x:v>
      </x:c>
      <x:c r="N164" t="n">
        <x:v>0</x:v>
      </x:c>
      <x:c r="O164" t="n">
        <x:v>0</x:v>
      </x:c>
      <x:c r="P164" t="n">
        <x:v>0</x:v>
      </x:c>
      <x:c r="Q164" t="n">
        <x:v>0</x:v>
      </x:c>
      <x:c r="R164" t="n">
        <x:v>0</x:v>
      </x:c>
      <x:c r="S164" t="n">
        <x:v>0</x:v>
      </x:c>
      <x:c r="T164" t="n">
        <x:v>0</x:v>
      </x:c>
      <x:c r="U164" t="n">
        <x:v>1</x:v>
      </x:c>
      <x:c r="V164" t="n">
        <x:v>0</x:v>
      </x:c>
      <x:c r="W164" t="n">
        <x:v>0</x:v>
      </x:c>
      <x:c r="X164" t="n">
        <x:v>0</x:v>
      </x:c>
      <x:c r="Y164" t="n">
        <x:v>0</x:v>
      </x:c>
      <x:c r="Z164" t="n">
        <x:v>0</x:v>
      </x:c>
    </x:row>
    <x:row r="165">
      <x:c r="A165" t="str">
        <x:v>aromataris2020_jbi_manual_evidence</x:v>
      </x:c>
      <x:c r="B165" t="str">
        <x:v>2020</x:v>
      </x:c>
      <x:c r="C165" t="str">
        <x:v>JBI Manual for Evidence Synthesis</x:v>
      </x:c>
      <x:c r="D165" t="str">
        <x:v>08_Systematic_Review_Methods</x:v>
      </x:c>
      <x:c r="E165" t="n">
        <x:v>0</x:v>
      </x:c>
      <x:c r="F165" t="n">
        <x:v>0</x:v>
      </x:c>
      <x:c r="G165" t="n">
        <x:v>0</x:v>
      </x:c>
      <x:c r="H165" t="n">
        <x:v>0</x:v>
      </x:c>
      <x:c r="I165" t="n">
        <x:v>0</x:v>
      </x:c>
      <x:c r="J165" t="n">
        <x:v>0</x:v>
      </x:c>
      <x:c r="K165" t="n">
        <x:v>0</x:v>
      </x:c>
      <x:c r="L165" t="n">
        <x:v>0</x:v>
      </x:c>
      <x:c r="M165" t="n">
        <x:v>0</x:v>
      </x:c>
      <x:c r="N165" t="n">
        <x:v>0</x:v>
      </x:c>
      <x:c r="O165" t="n">
        <x:v>0</x:v>
      </x:c>
      <x:c r="P165" t="n">
        <x:v>0</x:v>
      </x:c>
      <x:c r="Q165" t="n">
        <x:v>0</x:v>
      </x:c>
      <x:c r="R165" t="n">
        <x:v>0</x:v>
      </x:c>
      <x:c r="S165" t="n">
        <x:v>0</x:v>
      </x:c>
      <x:c r="T165" t="n">
        <x:v>0</x:v>
      </x:c>
      <x:c r="U165" t="n">
        <x:v>1</x:v>
      </x:c>
      <x:c r="V165" t="n">
        <x:v>0</x:v>
      </x:c>
      <x:c r="W165" t="n">
        <x:v>0</x:v>
      </x:c>
      <x:c r="X165" t="n">
        <x:v>0</x:v>
      </x:c>
      <x:c r="Y165" t="n">
        <x:v>0</x:v>
      </x:c>
      <x:c r="Z165" t="n">
        <x:v>0</x:v>
      </x:c>
    </x:row>
    <x:row r="166">
      <x:c r="A166" t="str">
        <x:v>hong2018_mixed_appraisal_tool</x:v>
      </x:c>
      <x:c r="B166" t="str">
        <x:v>2018</x:v>
      </x:c>
      <x:c r="C166" t="str">
        <x:v>Mixed Methods Appraisal Tool (MMAT), Version 2018</x:v>
      </x:c>
      <x:c r="D166" t="str">
        <x:v>08_Systematic_Review_Methods</x:v>
      </x:c>
      <x:c r="E166" t="n">
        <x:v>0</x:v>
      </x:c>
      <x:c r="F166" t="n">
        <x:v>0</x:v>
      </x:c>
      <x:c r="G166" t="n">
        <x:v>0</x:v>
      </x:c>
      <x:c r="H166" t="n">
        <x:v>0</x:v>
      </x:c>
      <x:c r="I166" t="n">
        <x:v>0</x:v>
      </x:c>
      <x:c r="J166" t="n">
        <x:v>0</x:v>
      </x:c>
      <x:c r="K166" t="n">
        <x:v>0</x:v>
      </x:c>
      <x:c r="L166" t="n">
        <x:v>0</x:v>
      </x:c>
      <x:c r="M166" t="n">
        <x:v>0</x:v>
      </x:c>
      <x:c r="N166" t="n">
        <x:v>0</x:v>
      </x:c>
      <x:c r="O166" t="n">
        <x:v>0</x:v>
      </x:c>
      <x:c r="P166" t="n">
        <x:v>0</x:v>
      </x:c>
      <x:c r="Q166" t="n">
        <x:v>0</x:v>
      </x:c>
      <x:c r="R166" t="n">
        <x:v>0</x:v>
      </x:c>
      <x:c r="S166" t="n">
        <x:v>0</x:v>
      </x:c>
      <x:c r="T166" t="n">
        <x:v>0</x:v>
      </x:c>
      <x:c r="U166" t="n">
        <x:v>0</x:v>
      </x:c>
      <x:c r="V166" t="n">
        <x:v>0</x:v>
      </x:c>
      <x:c r="W166" t="n">
        <x:v>0</x:v>
      </x:c>
      <x:c r="X166" t="n">
        <x:v>0</x:v>
      </x:c>
      <x:c r="Y166" t="n">
        <x:v>0</x:v>
      </x:c>
      <x:c r="Z166" t="n">
        <x:v>0</x:v>
      </x:c>
    </x:row>
    <x:row r="167">
      <x:c r="A167" t="str">
        <x:v>devlin2019_bert_pre_training</x:v>
      </x:c>
      <x:c r="B167" t="str">
        <x:v>2019</x:v>
      </x:c>
      <x:c r="C167" t="str">
        <x:v>BERT: Pre-training of Deep Bidirectional Transformers for Language Understanding</x:v>
      </x:c>
      <x:c r="D167" t="str">
        <x:v>10_LLM_Backbones_LowResource</x:v>
      </x:c>
      <x:c r="E167" t="n">
        <x:v>0</x:v>
      </x:c>
      <x:c r="F167" t="n">
        <x:v>0</x:v>
      </x:c>
      <x:c r="G167" t="n">
        <x:v>0</x:v>
      </x:c>
      <x:c r="H167" t="n">
        <x:v>0</x:v>
      </x:c>
      <x:c r="I167" t="n">
        <x:v>0</x:v>
      </x:c>
      <x:c r="J167" t="n">
        <x:v>0</x:v>
      </x:c>
      <x:c r="K167" t="n">
        <x:v>0</x:v>
      </x:c>
      <x:c r="L167" t="n">
        <x:v>0</x:v>
      </x:c>
      <x:c r="M167" t="n">
        <x:v>0</x:v>
      </x:c>
      <x:c r="N167" t="n">
        <x:v>0</x:v>
      </x:c>
      <x:c r="O167" t="n">
        <x:v>0</x:v>
      </x:c>
      <x:c r="P167" t="n">
        <x:v>0</x:v>
      </x:c>
      <x:c r="Q167" t="n">
        <x:v>0</x:v>
      </x:c>
      <x:c r="R167" t="n">
        <x:v>0</x:v>
      </x:c>
      <x:c r="S167" t="n">
        <x:v>0</x:v>
      </x:c>
      <x:c r="T167" t="n">
        <x:v>0</x:v>
      </x:c>
      <x:c r="U167" t="n">
        <x:v>0</x:v>
      </x:c>
      <x:c r="V167" t="n">
        <x:v>0</x:v>
      </x:c>
      <x:c r="W167" t="n">
        <x:v>0</x:v>
      </x:c>
      <x:c r="X167" t="n">
        <x:v>0</x:v>
      </x:c>
      <x:c r="Y167" t="n">
        <x:v>0</x:v>
      </x:c>
      <x:c r="Z167" t="n">
        <x:v>0</x:v>
      </x:c>
    </x:row>
    <x:row r="168">
      <x:c r="A168" t="str">
        <x:v>raffel2020_exploring_limits_transfer</x:v>
      </x:c>
      <x:c r="B168" t="str">
        <x:v>2020</x:v>
      </x:c>
      <x:c r="C168" t="str">
        <x:v>Exploring the Limits of Transfer Learning with a Unified Text-to-Text Transformer</x:v>
      </x:c>
      <x:c r="D168" t="str">
        <x:v>10_LLM_Backbones_LowResource</x:v>
      </x:c>
      <x:c r="E168" t="n">
        <x:v>0</x:v>
      </x:c>
      <x:c r="F168" t="n">
        <x:v>0</x:v>
      </x:c>
      <x:c r="G168" t="n">
        <x:v>0</x:v>
      </x:c>
      <x:c r="H168" t="n">
        <x:v>0</x:v>
      </x:c>
      <x:c r="I168" t="n">
        <x:v>0</x:v>
      </x:c>
      <x:c r="J168" t="n">
        <x:v>0</x:v>
      </x:c>
      <x:c r="K168" t="n">
        <x:v>0</x:v>
      </x:c>
      <x:c r="L168" t="n">
        <x:v>0</x:v>
      </x:c>
      <x:c r="M168" t="n">
        <x:v>0</x:v>
      </x:c>
      <x:c r="N168" t="n">
        <x:v>0</x:v>
      </x:c>
      <x:c r="O168" t="n">
        <x:v>0</x:v>
      </x:c>
      <x:c r="P168" t="n">
        <x:v>0</x:v>
      </x:c>
      <x:c r="Q168" t="n">
        <x:v>0</x:v>
      </x:c>
      <x:c r="R168" t="n">
        <x:v>0</x:v>
      </x:c>
      <x:c r="S168" t="n">
        <x:v>0</x:v>
      </x:c>
      <x:c r="T168" t="n">
        <x:v>0</x:v>
      </x:c>
      <x:c r="U168" t="n">
        <x:v>0</x:v>
      </x:c>
      <x:c r="V168" t="n">
        <x:v>0</x:v>
      </x:c>
      <x:c r="W168" t="n">
        <x:v>0</x:v>
      </x:c>
      <x:c r="X168" t="n">
        <x:v>0</x:v>
      </x:c>
      <x:c r="Y168" t="n">
        <x:v>0</x:v>
      </x:c>
      <x:c r="Z168" t="n">
        <x:v>0</x:v>
      </x:c>
    </x:row>
    <x:row r="169">
      <x:c r="A169" t="str">
        <x:v>lewis2020_bart_denoising_sequence</x:v>
      </x:c>
      <x:c r="B169" t="str">
        <x:v>2020</x:v>
      </x:c>
      <x:c r="C169" t="str">
        <x:v>BART: Denoising Sequence-to-Sequence Pre-training for Natural Language Generation, Translation, and Comprehension</x:v>
      </x:c>
      <x:c r="D169" t="str">
        <x:v>10_LLM_Backbones_LowResource</x:v>
      </x:c>
      <x:c r="E169" t="n">
        <x:v>0</x:v>
      </x:c>
      <x:c r="F169" t="n">
        <x:v>0</x:v>
      </x:c>
      <x:c r="G169" t="n">
        <x:v>0</x:v>
      </x:c>
      <x:c r="H169" t="n">
        <x:v>0</x:v>
      </x:c>
      <x:c r="I169" t="n">
        <x:v>0</x:v>
      </x:c>
      <x:c r="J169" t="n">
        <x:v>0</x:v>
      </x:c>
      <x:c r="K169" t="n">
        <x:v>0</x:v>
      </x:c>
      <x:c r="L169" t="n">
        <x:v>0</x:v>
      </x:c>
      <x:c r="M169" t="n">
        <x:v>0</x:v>
      </x:c>
      <x:c r="N169" t="n">
        <x:v>0</x:v>
      </x:c>
      <x:c r="O169" t="n">
        <x:v>0</x:v>
      </x:c>
      <x:c r="P169" t="n">
        <x:v>0</x:v>
      </x:c>
      <x:c r="Q169" t="n">
        <x:v>0</x:v>
      </x:c>
      <x:c r="R169" t="n">
        <x:v>0</x:v>
      </x:c>
      <x:c r="S169" t="n">
        <x:v>0</x:v>
      </x:c>
      <x:c r="T169" t="n">
        <x:v>0</x:v>
      </x:c>
      <x:c r="U169" t="n">
        <x:v>0</x:v>
      </x:c>
      <x:c r="V169" t="n">
        <x:v>0</x:v>
      </x:c>
      <x:c r="W169" t="n">
        <x:v>0</x:v>
      </x:c>
      <x:c r="X169" t="n">
        <x:v>0</x:v>
      </x:c>
      <x:c r="Y169" t="n">
        <x:v>0</x:v>
      </x:c>
      <x:c r="Z169" t="n">
        <x:v>0</x:v>
      </x:c>
    </x:row>
    <x:row r="170">
      <x:c r="A170" t="str">
        <x:v>xue2021_mt5_massively_multilingual</x:v>
      </x:c>
      <x:c r="B170" t="str">
        <x:v>2021</x:v>
      </x:c>
      <x:c r="C170" t="str">
        <x:v>mT5: A Massively Multilingual Pre-trained Text-to-Text Transformer</x:v>
      </x:c>
      <x:c r="D170" t="str">
        <x:v>10_LLM_Backbones_LowResource</x:v>
      </x:c>
      <x:c r="E170" t="n">
        <x:v>0</x:v>
      </x:c>
      <x:c r="F170" t="n">
        <x:v>0</x:v>
      </x:c>
      <x:c r="G170" t="n">
        <x:v>0</x:v>
      </x:c>
      <x:c r="H170" t="n">
        <x:v>0</x:v>
      </x:c>
      <x:c r="I170" t="n">
        <x:v>1</x:v>
      </x:c>
      <x:c r="J170" t="n">
        <x:v>0</x:v>
      </x:c>
      <x:c r="K170" t="n">
        <x:v>0</x:v>
      </x:c>
      <x:c r="L170" t="n">
        <x:v>0</x:v>
      </x:c>
      <x:c r="M170" t="n">
        <x:v>0</x:v>
      </x:c>
      <x:c r="N170" t="n">
        <x:v>0</x:v>
      </x:c>
      <x:c r="O170" t="n">
        <x:v>0</x:v>
      </x:c>
      <x:c r="P170" t="n">
        <x:v>0</x:v>
      </x:c>
      <x:c r="Q170" t="n">
        <x:v>0</x:v>
      </x:c>
      <x:c r="R170" t="n">
        <x:v>0</x:v>
      </x:c>
      <x:c r="S170" t="n">
        <x:v>0</x:v>
      </x:c>
      <x:c r="T170" t="n">
        <x:v>0</x:v>
      </x:c>
      <x:c r="U170" t="n">
        <x:v>0</x:v>
      </x:c>
      <x:c r="V170" t="n">
        <x:v>0</x:v>
      </x:c>
      <x:c r="W170" t="n">
        <x:v>0</x:v>
      </x:c>
      <x:c r="X170" t="n">
        <x:v>0</x:v>
      </x:c>
      <x:c r="Y170" t="n">
        <x:v>0</x:v>
      </x:c>
      <x:c r="Z170" t="n">
        <x:v>0</x:v>
      </x:c>
    </x:row>
    <x:row r="171">
      <x:c r="A171" t="str">
        <x:v>liu2020_multilingual_denoising_pre</x:v>
      </x:c>
      <x:c r="B171" t="str">
        <x:v>2020</x:v>
      </x:c>
      <x:c r="C171" t="str">
        <x:v>Multilingual Denoising Pre-training for Neural Machine Translation</x:v>
      </x:c>
      <x:c r="D171" t="str">
        <x:v>10_LLM_Backbones_LowResource</x:v>
      </x:c>
      <x:c r="E171" t="n">
        <x:v>0</x:v>
      </x:c>
      <x:c r="F171" t="n">
        <x:v>0</x:v>
      </x:c>
      <x:c r="G171" t="n">
        <x:v>0</x:v>
      </x:c>
      <x:c r="H171" t="n">
        <x:v>0</x:v>
      </x:c>
      <x:c r="I171" t="n">
        <x:v>1</x:v>
      </x:c>
      <x:c r="J171" t="n">
        <x:v>0</x:v>
      </x:c>
      <x:c r="K171" t="n">
        <x:v>0</x:v>
      </x:c>
      <x:c r="L171" t="n">
        <x:v>0</x:v>
      </x:c>
      <x:c r="M171" t="n">
        <x:v>0</x:v>
      </x:c>
      <x:c r="N171" t="n">
        <x:v>0</x:v>
      </x:c>
      <x:c r="O171" t="n">
        <x:v>0</x:v>
      </x:c>
      <x:c r="P171" t="n">
        <x:v>0</x:v>
      </x:c>
      <x:c r="Q171" t="n">
        <x:v>0</x:v>
      </x:c>
      <x:c r="R171" t="n">
        <x:v>0</x:v>
      </x:c>
      <x:c r="S171" t="n">
        <x:v>0</x:v>
      </x:c>
      <x:c r="T171" t="n">
        <x:v>0</x:v>
      </x:c>
      <x:c r="U171" t="n">
        <x:v>0</x:v>
      </x:c>
      <x:c r="V171" t="n">
        <x:v>0</x:v>
      </x:c>
      <x:c r="W171" t="n">
        <x:v>0</x:v>
      </x:c>
      <x:c r="X171" t="n">
        <x:v>0</x:v>
      </x:c>
      <x:c r="Y171" t="n">
        <x:v>0</x:v>
      </x:c>
      <x:c r="Z171" t="n">
        <x:v>0</x:v>
      </x:c>
    </x:row>
    <x:row r="172">
      <x:c r="A172" t="str">
        <x:v>conneau2020_unsupervised_cross_lingual</x:v>
      </x:c>
      <x:c r="B172" t="str">
        <x:v>2020</x:v>
      </x:c>
      <x:c r="C172" t="str">
        <x:v>Unsupervised Cross-lingual Representation Learning at Scale</x:v>
      </x:c>
      <x:c r="D172" t="str">
        <x:v>10_LLM_Backbones_LowResource</x:v>
      </x:c>
      <x:c r="E172" t="n">
        <x:v>0</x:v>
      </x:c>
      <x:c r="F172" t="n">
        <x:v>0</x:v>
      </x:c>
      <x:c r="G172" t="n">
        <x:v>0</x:v>
      </x:c>
      <x:c r="H172" t="n">
        <x:v>0</x:v>
      </x:c>
      <x:c r="I172" t="n">
        <x:v>1</x:v>
      </x:c>
      <x:c r="J172" t="n">
        <x:v>0</x:v>
      </x:c>
      <x:c r="K172" t="n">
        <x:v>0</x:v>
      </x:c>
      <x:c r="L172" t="n">
        <x:v>0</x:v>
      </x:c>
      <x:c r="M172" t="n">
        <x:v>0</x:v>
      </x:c>
      <x:c r="N172" t="n">
        <x:v>0</x:v>
      </x:c>
      <x:c r="O172" t="n">
        <x:v>0</x:v>
      </x:c>
      <x:c r="P172" t="n">
        <x:v>0</x:v>
      </x:c>
      <x:c r="Q172" t="n">
        <x:v>0</x:v>
      </x:c>
      <x:c r="R172" t="n">
        <x:v>0</x:v>
      </x:c>
      <x:c r="S172" t="n">
        <x:v>0</x:v>
      </x:c>
      <x:c r="T172" t="n">
        <x:v>0</x:v>
      </x:c>
      <x:c r="U172" t="n">
        <x:v>0</x:v>
      </x:c>
      <x:c r="V172" t="n">
        <x:v>0</x:v>
      </x:c>
      <x:c r="W172" t="n">
        <x:v>0</x:v>
      </x:c>
      <x:c r="X172" t="n">
        <x:v>0</x:v>
      </x:c>
      <x:c r="Y172" t="n">
        <x:v>0</x:v>
      </x:c>
      <x:c r="Z172" t="n">
        <x:v>0</x:v>
      </x:c>
    </x:row>
    <x:row r="173">
      <x:c r="A173" t="str">
        <x:v>pfeiffer2020_mad_x_adapter</x:v>
      </x:c>
      <x:c r="B173" t="str">
        <x:v>2020</x:v>
      </x:c>
      <x:c r="C173" t="str">
        <x:v>MAD-X: An Adapter-Based Framework for Multi-Task Cross-Lingual Transfer</x:v>
      </x:c>
      <x:c r="D173" t="str">
        <x:v>10_LLM_Backbones_LowResource</x:v>
      </x:c>
      <x:c r="E173" t="n">
        <x:v>0</x:v>
      </x:c>
      <x:c r="F173" t="n">
        <x:v>0</x:v>
      </x:c>
      <x:c r="G173" t="n">
        <x:v>0</x:v>
      </x:c>
      <x:c r="H173" t="n">
        <x:v>0</x:v>
      </x:c>
      <x:c r="I173" t="n">
        <x:v>0</x:v>
      </x:c>
      <x:c r="J173" t="n">
        <x:v>1</x:v>
      </x:c>
      <x:c r="K173" t="n">
        <x:v>0</x:v>
      </x:c>
      <x:c r="L173" t="n">
        <x:v>0</x:v>
      </x:c>
      <x:c r="M173" t="n">
        <x:v>0</x:v>
      </x:c>
      <x:c r="N173" t="n">
        <x:v>0</x:v>
      </x:c>
      <x:c r="O173" t="n">
        <x:v>0</x:v>
      </x:c>
      <x:c r="P173" t="n">
        <x:v>0</x:v>
      </x:c>
      <x:c r="Q173" t="n">
        <x:v>0</x:v>
      </x:c>
      <x:c r="R173" t="n">
        <x:v>0</x:v>
      </x:c>
      <x:c r="S173" t="n">
        <x:v>0</x:v>
      </x:c>
      <x:c r="T173" t="n">
        <x:v>0</x:v>
      </x:c>
      <x:c r="U173" t="n">
        <x:v>0</x:v>
      </x:c>
      <x:c r="V173" t="n">
        <x:v>0</x:v>
      </x:c>
      <x:c r="W173" t="n">
        <x:v>0</x:v>
      </x:c>
      <x:c r="X173" t="n">
        <x:v>0</x:v>
      </x:c>
      <x:c r="Y173" t="n">
        <x:v>0</x:v>
      </x:c>
      <x:c r="Z173" t="n">
        <x:v>0</x:v>
      </x:c>
    </x:row>
    <x:row r="174">
      <x:c r="A174" t="str">
        <x:v>houlsby2019_parameter_efficient_transfer</x:v>
      </x:c>
      <x:c r="B174" t="str">
        <x:v>2019</x:v>
      </x:c>
      <x:c r="C174" t="str">
        <x:v>Parameter-Efficient Transfer Learning for NLP</x:v>
      </x:c>
      <x:c r="D174" t="str">
        <x:v>10_LLM_Backbones_LowResource</x:v>
      </x:c>
      <x:c r="E174" t="n">
        <x:v>0</x:v>
      </x:c>
      <x:c r="F174" t="n">
        <x:v>0</x:v>
      </x:c>
      <x:c r="G174" t="n">
        <x:v>0</x:v>
      </x:c>
      <x:c r="H174" t="n">
        <x:v>0</x:v>
      </x:c>
      <x:c r="I174" t="n">
        <x:v>0</x:v>
      </x:c>
      <x:c r="J174" t="n">
        <x:v>0</x:v>
      </x:c>
      <x:c r="K174" t="n">
        <x:v>0</x:v>
      </x:c>
      <x:c r="L174" t="n">
        <x:v>0</x:v>
      </x:c>
      <x:c r="M174" t="n">
        <x:v>0</x:v>
      </x:c>
      <x:c r="N174" t="n">
        <x:v>0</x:v>
      </x:c>
      <x:c r="O174" t="n">
        <x:v>0</x:v>
      </x:c>
      <x:c r="P174" t="n">
        <x:v>0</x:v>
      </x:c>
      <x:c r="Q174" t="n">
        <x:v>0</x:v>
      </x:c>
      <x:c r="R174" t="n">
        <x:v>0</x:v>
      </x:c>
      <x:c r="S174" t="n">
        <x:v>0</x:v>
      </x:c>
      <x:c r="T174" t="n">
        <x:v>0</x:v>
      </x:c>
      <x:c r="U174" t="n">
        <x:v>0</x:v>
      </x:c>
      <x:c r="V174" t="n">
        <x:v>0</x:v>
      </x:c>
      <x:c r="W174" t="n">
        <x:v>0</x:v>
      </x:c>
      <x:c r="X174" t="n">
        <x:v>0</x:v>
      </x:c>
      <x:c r="Y174" t="n">
        <x:v>0</x:v>
      </x:c>
      <x:c r="Z174" t="n">
        <x:v>0</x:v>
      </x:c>
    </x:row>
    <x:row r="175">
      <x:c r="A175" t="str">
        <x:v>hu2022_lora_low_rank</x:v>
      </x:c>
      <x:c r="B175" t="str">
        <x:v>2022</x:v>
      </x:c>
      <x:c r="C175" t="str">
        <x:v>LoRA: Low-Rank Adaptation of Large Language Models</x:v>
      </x:c>
      <x:c r="D175" t="str">
        <x:v>10_LLM_Backbones_LowResource</x:v>
      </x:c>
      <x:c r="E175" t="n">
        <x:v>0</x:v>
      </x:c>
      <x:c r="F175" t="n">
        <x:v>0</x:v>
      </x:c>
      <x:c r="G175" t="n">
        <x:v>0</x:v>
      </x:c>
      <x:c r="H175" t="n">
        <x:v>0</x:v>
      </x:c>
      <x:c r="I175" t="n">
        <x:v>0</x:v>
      </x:c>
      <x:c r="J175" t="n">
        <x:v>0</x:v>
      </x:c>
      <x:c r="K175" t="n">
        <x:v>0</x:v>
      </x:c>
      <x:c r="L175" t="n">
        <x:v>0</x:v>
      </x:c>
      <x:c r="M175" t="n">
        <x:v>0</x:v>
      </x:c>
      <x:c r="N175" t="n">
        <x:v>0</x:v>
      </x:c>
      <x:c r="O175" t="n">
        <x:v>0</x:v>
      </x:c>
      <x:c r="P175" t="n">
        <x:v>0</x:v>
      </x:c>
      <x:c r="Q175" t="n">
        <x:v>1</x:v>
      </x:c>
      <x:c r="R175" t="n">
        <x:v>0</x:v>
      </x:c>
      <x:c r="S175" t="n">
        <x:v>0</x:v>
      </x:c>
      <x:c r="T175" t="n">
        <x:v>0</x:v>
      </x:c>
      <x:c r="U175" t="n">
        <x:v>0</x:v>
      </x:c>
      <x:c r="V175" t="n">
        <x:v>0</x:v>
      </x:c>
      <x:c r="W175" t="n">
        <x:v>0</x:v>
      </x:c>
      <x:c r="X175" t="n">
        <x:v>0</x:v>
      </x:c>
      <x:c r="Y175" t="n">
        <x:v>0</x:v>
      </x:c>
      <x:c r="Z175" t="n">
        <x:v>0</x:v>
      </x:c>
    </x:row>
    <x:row r="176">
      <x:c r="A176" t="str">
        <x:v>joshi2020_state_fate_linguistic</x:v>
      </x:c>
      <x:c r="B176" t="str">
        <x:v>2020</x:v>
      </x:c>
      <x:c r="C176" t="str">
        <x:v>The State and Fate of Linguistic Diversity and Inclusion in the NLP World</x:v>
      </x:c>
      <x:c r="D176" t="str">
        <x:v>10_LLM_Backbones_LowResource</x:v>
      </x:c>
      <x:c r="E176" t="n">
        <x:v>0</x:v>
      </x:c>
      <x:c r="F176" t="n">
        <x:v>0</x:v>
      </x:c>
      <x:c r="G176" t="n">
        <x:v>0</x:v>
      </x:c>
      <x:c r="H176" t="n">
        <x:v>0</x:v>
      </x:c>
      <x:c r="I176" t="n">
        <x:v>0</x:v>
      </x:c>
      <x:c r="J176" t="n">
        <x:v>1</x:v>
      </x:c>
      <x:c r="K176" t="n">
        <x:v>0</x:v>
      </x:c>
      <x:c r="L176" t="n">
        <x:v>0</x:v>
      </x:c>
      <x:c r="M176" t="n">
        <x:v>0</x:v>
      </x:c>
      <x:c r="N176" t="n">
        <x:v>0</x:v>
      </x:c>
      <x:c r="O176" t="n">
        <x:v>0</x:v>
      </x:c>
      <x:c r="P176" t="n">
        <x:v>0</x:v>
      </x:c>
      <x:c r="Q176" t="n">
        <x:v>0</x:v>
      </x:c>
      <x:c r="R176" t="n">
        <x:v>0</x:v>
      </x:c>
      <x:c r="S176" t="n">
        <x:v>0</x:v>
      </x:c>
      <x:c r="T176" t="n">
        <x:v>0</x:v>
      </x:c>
      <x:c r="U176" t="n">
        <x:v>0</x:v>
      </x:c>
      <x:c r="V176" t="n">
        <x:v>0</x:v>
      </x:c>
      <x:c r="W176" t="n">
        <x:v>0</x:v>
      </x:c>
      <x:c r="X176" t="n">
        <x:v>0</x:v>
      </x:c>
      <x:c r="Y176" t="n">
        <x:v>0</x:v>
      </x:c>
      <x:c r="Z176" t="n">
        <x:v>0</x:v>
      </x:c>
    </x:row>
    <x:row r="177">
      <x:c r="A177" t="str">
        <x:v>ruder2019_cross_lingual_word</x:v>
      </x:c>
      <x:c r="B177" t="str">
        <x:v>2019</x:v>
      </x:c>
      <x:c r="C177" t="str">
        <x:v>A Survey of Cross-lingual Word Embedding Models</x:v>
      </x:c>
      <x:c r="D177" t="str">
        <x:v>10_LLM_Backbones_LowResource</x:v>
      </x:c>
      <x:c r="E177" t="n">
        <x:v>0</x:v>
      </x:c>
      <x:c r="F177" t="n">
        <x:v>0</x:v>
      </x:c>
      <x:c r="G177" t="n">
        <x:v>0</x:v>
      </x:c>
      <x:c r="H177" t="n">
        <x:v>0</x:v>
      </x:c>
      <x:c r="I177" t="n">
        <x:v>0</x:v>
      </x:c>
      <x:c r="J177" t="n">
        <x:v>0</x:v>
      </x:c>
      <x:c r="K177" t="n">
        <x:v>0</x:v>
      </x:c>
      <x:c r="L177" t="n">
        <x:v>0</x:v>
      </x:c>
      <x:c r="M177" t="n">
        <x:v>0</x:v>
      </x:c>
      <x:c r="N177" t="n">
        <x:v>0</x:v>
      </x:c>
      <x:c r="O177" t="n">
        <x:v>0</x:v>
      </x:c>
      <x:c r="P177" t="n">
        <x:v>0</x:v>
      </x:c>
      <x:c r="Q177" t="n">
        <x:v>0</x:v>
      </x:c>
      <x:c r="R177" t="n">
        <x:v>0</x:v>
      </x:c>
      <x:c r="S177" t="n">
        <x:v>0</x:v>
      </x:c>
      <x:c r="T177" t="n">
        <x:v>0</x:v>
      </x:c>
      <x:c r="U177" t="n">
        <x:v>0</x:v>
      </x:c>
      <x:c r="V177" t="n">
        <x:v>0</x:v>
      </x:c>
      <x:c r="W177" t="n">
        <x:v>0</x:v>
      </x:c>
      <x:c r="X177" t="n">
        <x:v>0</x:v>
      </x:c>
      <x:c r="Y177" t="n">
        <x:v>0</x:v>
      </x:c>
      <x:c r="Z177" t="n">
        <x:v>0</x:v>
      </x:c>
    </x:row>
    <x:row r="178">
      <x:c r="A178" t="str">
        <x:v>lauscher2020_zero_hero_limitations</x:v>
      </x:c>
      <x:c r="B178" t="str">
        <x:v>2020</x:v>
      </x:c>
      <x:c r="C178" t="str">
        <x:v>From Zero to Hero: On the Limitations of Zero-Shot Cross-Lingual Transfer with Multilingual Transformers</x:v>
      </x:c>
      <x:c r="D178" t="str">
        <x:v>10_LLM_Backbones_LowResource</x:v>
      </x:c>
      <x:c r="E178" t="n">
        <x:v>0</x:v>
      </x:c>
      <x:c r="F178" t="n">
        <x:v>0</x:v>
      </x:c>
      <x:c r="G178" t="n">
        <x:v>0</x:v>
      </x:c>
      <x:c r="H178" t="n">
        <x:v>0</x:v>
      </x:c>
      <x:c r="I178" t="n">
        <x:v>0</x:v>
      </x:c>
      <x:c r="J178" t="n">
        <x:v>1</x:v>
      </x:c>
      <x:c r="K178" t="n">
        <x:v>0</x:v>
      </x:c>
      <x:c r="L178" t="n">
        <x:v>0</x:v>
      </x:c>
      <x:c r="M178" t="n">
        <x:v>0</x:v>
      </x:c>
      <x:c r="N178" t="n">
        <x:v>0</x:v>
      </x:c>
      <x:c r="O178" t="n">
        <x:v>0</x:v>
      </x:c>
      <x:c r="P178" t="n">
        <x:v>0</x:v>
      </x:c>
      <x:c r="Q178" t="n">
        <x:v>0</x:v>
      </x:c>
      <x:c r="R178" t="n">
        <x:v>0</x:v>
      </x:c>
      <x:c r="S178" t="n">
        <x:v>0</x:v>
      </x:c>
      <x:c r="T178" t="n">
        <x:v>0</x:v>
      </x:c>
      <x:c r="U178" t="n">
        <x:v>0</x:v>
      </x:c>
      <x:c r="V178" t="n">
        <x:v>0</x:v>
      </x:c>
      <x:c r="W178" t="n">
        <x:v>0</x:v>
      </x:c>
      <x:c r="X178" t="n">
        <x:v>0</x:v>
      </x:c>
      <x:c r="Y178" t="n">
        <x:v>0</x:v>
      </x:c>
      <x:c r="Z178" t="n">
        <x:v>0</x:v>
      </x:c>
    </x:row>
    <x:row r="179">
      <x:c r="A179" t="str">
        <x:v>touvron2023_llama_2_open</x:v>
      </x:c>
      <x:c r="B179" t="str">
        <x:v>2023</x:v>
      </x:c>
      <x:c r="C179" t="str">
        <x:v>Llama 2: Open Foundation and Fine-Tuned Chat Models</x:v>
      </x:c>
      <x:c r="D179" t="str">
        <x:v>10_LLM_Backbones_LowResource</x:v>
      </x:c>
      <x:c r="E179" t="n">
        <x:v>0</x:v>
      </x:c>
      <x:c r="F179" t="n">
        <x:v>0</x:v>
      </x:c>
      <x:c r="G179" t="n">
        <x:v>0</x:v>
      </x:c>
      <x:c r="H179" t="n">
        <x:v>0</x:v>
      </x:c>
      <x:c r="I179" t="n">
        <x:v>0</x:v>
      </x:c>
      <x:c r="J179" t="n">
        <x:v>0</x:v>
      </x:c>
      <x:c r="K179" t="n">
        <x:v>0</x:v>
      </x:c>
      <x:c r="L179" t="n">
        <x:v>0</x:v>
      </x:c>
      <x:c r="M179" t="n">
        <x:v>0</x:v>
      </x:c>
      <x:c r="N179" t="n">
        <x:v>0</x:v>
      </x:c>
      <x:c r="O179" t="n">
        <x:v>0</x:v>
      </x:c>
      <x:c r="P179" t="n">
        <x:v>0</x:v>
      </x:c>
      <x:c r="Q179" t="n">
        <x:v>1</x:v>
      </x:c>
      <x:c r="R179" t="n">
        <x:v>0</x:v>
      </x:c>
      <x:c r="S179" t="n">
        <x:v>0</x:v>
      </x:c>
      <x:c r="T179" t="n">
        <x:v>0</x:v>
      </x:c>
      <x:c r="U179" t="n">
        <x:v>0</x:v>
      </x:c>
      <x:c r="V179" t="n">
        <x:v>0</x:v>
      </x:c>
      <x:c r="W179" t="n">
        <x:v>0</x:v>
      </x:c>
      <x:c r="X179" t="n">
        <x:v>0</x:v>
      </x:c>
      <x:c r="Y179" t="n">
        <x:v>0</x:v>
      </x:c>
      <x:c r="Z179" t="n">
        <x:v>1</x:v>
      </x:c>
    </x:row>
    <x:row r="180">
      <x:c r="A180" t="str">
        <x:v>dubey2024_llama_3_herd</x:v>
      </x:c>
      <x:c r="B180" t="str">
        <x:v>2024</x:v>
      </x:c>
      <x:c r="C180" t="str">
        <x:v>The Llama 3 Herd of Models</x:v>
      </x:c>
      <x:c r="D180" t="str">
        <x:v>10_LLM_Backbones_LowResource</x:v>
      </x:c>
      <x:c r="E180" t="n">
        <x:v>0</x:v>
      </x:c>
      <x:c r="F180" t="n">
        <x:v>0</x:v>
      </x:c>
      <x:c r="G180" t="n">
        <x:v>0</x:v>
      </x:c>
      <x:c r="H180" t="n">
        <x:v>0</x:v>
      </x:c>
      <x:c r="I180" t="n">
        <x:v>0</x:v>
      </x:c>
      <x:c r="J180" t="n">
        <x:v>0</x:v>
      </x:c>
      <x:c r="K180" t="n">
        <x:v>0</x:v>
      </x:c>
      <x:c r="L180" t="n">
        <x:v>0</x:v>
      </x:c>
      <x:c r="M180" t="n">
        <x:v>0</x:v>
      </x:c>
      <x:c r="N180" t="n">
        <x:v>0</x:v>
      </x:c>
      <x:c r="O180" t="n">
        <x:v>0</x:v>
      </x:c>
      <x:c r="P180" t="n">
        <x:v>0</x:v>
      </x:c>
      <x:c r="Q180" t="n">
        <x:v>1</x:v>
      </x:c>
      <x:c r="R180" t="n">
        <x:v>0</x:v>
      </x:c>
      <x:c r="S180" t="n">
        <x:v>0</x:v>
      </x:c>
      <x:c r="T180" t="n">
        <x:v>0</x:v>
      </x:c>
      <x:c r="U180" t="n">
        <x:v>0</x:v>
      </x:c>
      <x:c r="V180" t="n">
        <x:v>0</x:v>
      </x:c>
      <x:c r="W180" t="n">
        <x:v>0</x:v>
      </x:c>
      <x:c r="X180" t="n">
        <x:v>0</x:v>
      </x:c>
      <x:c r="Y180" t="n">
        <x:v>0</x:v>
      </x:c>
      <x:c r="Z180" t="n">
        <x:v>1</x:v>
      </x:c>
    </x:row>
    <x:row r="181">
      <x:c r="A181" t="str">
        <x:v>yang2024_qwen2_5_technical</x:v>
      </x:c>
      <x:c r="B181" t="str">
        <x:v>2024</x:v>
      </x:c>
      <x:c r="C181" t="str">
        <x:v>Qwen2.5 Technical Report</x:v>
      </x:c>
      <x:c r="D181" t="str">
        <x:v>10_LLM_Backbones_LowResource</x:v>
      </x:c>
      <x:c r="E181" t="n">
        <x:v>0</x:v>
      </x:c>
      <x:c r="F181" t="n">
        <x:v>0</x:v>
      </x:c>
      <x:c r="G181" t="n">
        <x:v>0</x:v>
      </x:c>
      <x:c r="H181" t="n">
        <x:v>0</x:v>
      </x:c>
      <x:c r="I181" t="n">
        <x:v>0</x:v>
      </x:c>
      <x:c r="J181" t="n">
        <x:v>0</x:v>
      </x:c>
      <x:c r="K181" t="n">
        <x:v>0</x:v>
      </x:c>
      <x:c r="L181" t="n">
        <x:v>0</x:v>
      </x:c>
      <x:c r="M181" t="n">
        <x:v>0</x:v>
      </x:c>
      <x:c r="N181" t="n">
        <x:v>0</x:v>
      </x:c>
      <x:c r="O181" t="n">
        <x:v>0</x:v>
      </x:c>
      <x:c r="P181" t="n">
        <x:v>0</x:v>
      </x:c>
      <x:c r="Q181" t="n">
        <x:v>1</x:v>
      </x:c>
      <x:c r="R181" t="n">
        <x:v>0</x:v>
      </x:c>
      <x:c r="S181" t="n">
        <x:v>0</x:v>
      </x:c>
      <x:c r="T181" t="n">
        <x:v>0</x:v>
      </x:c>
      <x:c r="U181" t="n">
        <x:v>0</x:v>
      </x:c>
      <x:c r="V181" t="n">
        <x:v>0</x:v>
      </x:c>
      <x:c r="W181" t="n">
        <x:v>0</x:v>
      </x:c>
      <x:c r="X181" t="n">
        <x:v>0</x:v>
      </x:c>
      <x:c r="Y181" t="n">
        <x:v>0</x:v>
      </x:c>
      <x:c r="Z181" t="n">
        <x:v>1</x:v>
      </x:c>
    </x:row>
    <x:row r="182">
      <x:c r="A182" t="str">
        <x:v>team2024_gemma_open_gemini</x:v>
      </x:c>
      <x:c r="B182" t="str">
        <x:v>2024</x:v>
      </x:c>
      <x:c r="C182" t="str">
        <x:v>Gemma: Open Models Based on Gemini Research and Technology</x:v>
      </x:c>
      <x:c r="D182" t="str">
        <x:v>10_LLM_Backbones_LowResource</x:v>
      </x:c>
      <x:c r="E182" t="n">
        <x:v>0</x:v>
      </x:c>
      <x:c r="F182" t="n">
        <x:v>0</x:v>
      </x:c>
      <x:c r="G182" t="n">
        <x:v>0</x:v>
      </x:c>
      <x:c r="H182" t="n">
        <x:v>0</x:v>
      </x:c>
      <x:c r="I182" t="n">
        <x:v>0</x:v>
      </x:c>
      <x:c r="J182" t="n">
        <x:v>0</x:v>
      </x:c>
      <x:c r="K182" t="n">
        <x:v>0</x:v>
      </x:c>
      <x:c r="L182" t="n">
        <x:v>0</x:v>
      </x:c>
      <x:c r="M182" t="n">
        <x:v>0</x:v>
      </x:c>
      <x:c r="N182" t="n">
        <x:v>0</x:v>
      </x:c>
      <x:c r="O182" t="n">
        <x:v>0</x:v>
      </x:c>
      <x:c r="P182" t="n">
        <x:v>0</x:v>
      </x:c>
      <x:c r="Q182" t="n">
        <x:v>1</x:v>
      </x:c>
      <x:c r="R182" t="n">
        <x:v>0</x:v>
      </x:c>
      <x:c r="S182" t="n">
        <x:v>0</x:v>
      </x:c>
      <x:c r="T182" t="n">
        <x:v>0</x:v>
      </x:c>
      <x:c r="U182" t="n">
        <x:v>0</x:v>
      </x:c>
      <x:c r="V182" t="n">
        <x:v>0</x:v>
      </x:c>
      <x:c r="W182" t="n">
        <x:v>0</x:v>
      </x:c>
      <x:c r="X182" t="n">
        <x:v>0</x:v>
      </x:c>
      <x:c r="Y182" t="n">
        <x:v>0</x:v>
      </x:c>
      <x:c r="Z182" t="n">
        <x:v>1</x:v>
      </x:c>
    </x:row>
    <x:row r="183">
      <x:c r="A183" t="str">
        <x:v>team2024_gemma_2_improving</x:v>
      </x:c>
      <x:c r="B183" t="str">
        <x:v>2024</x:v>
      </x:c>
      <x:c r="C183" t="str">
        <x:v>Gemma 2: Improving Open Language Models at a Practical Size</x:v>
      </x:c>
      <x:c r="D183" t="str">
        <x:v>10_LLM_Backbones_LowResource</x:v>
      </x:c>
      <x:c r="E183" t="n">
        <x:v>0</x:v>
      </x:c>
      <x:c r="F183" t="n">
        <x:v>0</x:v>
      </x:c>
      <x:c r="G183" t="n">
        <x:v>0</x:v>
      </x:c>
      <x:c r="H183" t="n">
        <x:v>0</x:v>
      </x:c>
      <x:c r="I183" t="n">
        <x:v>0</x:v>
      </x:c>
      <x:c r="J183" t="n">
        <x:v>0</x:v>
      </x:c>
      <x:c r="K183" t="n">
        <x:v>0</x:v>
      </x:c>
      <x:c r="L183" t="n">
        <x:v>0</x:v>
      </x:c>
      <x:c r="M183" t="n">
        <x:v>0</x:v>
      </x:c>
      <x:c r="N183" t="n">
        <x:v>0</x:v>
      </x:c>
      <x:c r="O183" t="n">
        <x:v>0</x:v>
      </x:c>
      <x:c r="P183" t="n">
        <x:v>0</x:v>
      </x:c>
      <x:c r="Q183" t="n">
        <x:v>1</x:v>
      </x:c>
      <x:c r="R183" t="n">
        <x:v>0</x:v>
      </x:c>
      <x:c r="S183" t="n">
        <x:v>0</x:v>
      </x:c>
      <x:c r="T183" t="n">
        <x:v>0</x:v>
      </x:c>
      <x:c r="U183" t="n">
        <x:v>0</x:v>
      </x:c>
      <x:c r="V183" t="n">
        <x:v>0</x:v>
      </x:c>
      <x:c r="W183" t="n">
        <x:v>0</x:v>
      </x:c>
      <x:c r="X183" t="n">
        <x:v>0</x:v>
      </x:c>
      <x:c r="Y183" t="n">
        <x:v>0</x:v>
      </x:c>
      <x:c r="Z183" t="n">
        <x:v>1</x:v>
      </x:c>
    </x:row>
    <x:row r="184">
      <x:c r="A184" t="str">
        <x:v>jiang2023_mistral_7b</x:v>
      </x:c>
      <x:c r="B184" t="str">
        <x:v>2023</x:v>
      </x:c>
      <x:c r="C184" t="str">
        <x:v>Mistral 7B</x:v>
      </x:c>
      <x:c r="D184" t="str">
        <x:v>10_LLM_Backbones_LowResource</x:v>
      </x:c>
      <x:c r="E184" t="n">
        <x:v>0</x:v>
      </x:c>
      <x:c r="F184" t="n">
        <x:v>0</x:v>
      </x:c>
      <x:c r="G184" t="n">
        <x:v>0</x:v>
      </x:c>
      <x:c r="H184" t="n">
        <x:v>0</x:v>
      </x:c>
      <x:c r="I184" t="n">
        <x:v>0</x:v>
      </x:c>
      <x:c r="J184" t="n">
        <x:v>0</x:v>
      </x:c>
      <x:c r="K184" t="n">
        <x:v>0</x:v>
      </x:c>
      <x:c r="L184" t="n">
        <x:v>0</x:v>
      </x:c>
      <x:c r="M184" t="n">
        <x:v>0</x:v>
      </x:c>
      <x:c r="N184" t="n">
        <x:v>0</x:v>
      </x:c>
      <x:c r="O184" t="n">
        <x:v>0</x:v>
      </x:c>
      <x:c r="P184" t="n">
        <x:v>0</x:v>
      </x:c>
      <x:c r="Q184" t="n">
        <x:v>1</x:v>
      </x:c>
      <x:c r="R184" t="n">
        <x:v>0</x:v>
      </x:c>
      <x:c r="S184" t="n">
        <x:v>0</x:v>
      </x:c>
      <x:c r="T184" t="n">
        <x:v>0</x:v>
      </x:c>
      <x:c r="U184" t="n">
        <x:v>0</x:v>
      </x:c>
      <x:c r="V184" t="n">
        <x:v>0</x:v>
      </x:c>
      <x:c r="W184" t="n">
        <x:v>0</x:v>
      </x:c>
      <x:c r="X184" t="n">
        <x:v>0</x:v>
      </x:c>
      <x:c r="Y184" t="n">
        <x:v>0</x:v>
      </x:c>
      <x:c r="Z184" t="n">
        <x:v>1</x:v>
      </x:c>
    </x:row>
    <x:row r="185">
      <x:c r="A185" t="str">
        <x:v>dettmers2023_qlora_efficient_finetuning</x:v>
      </x:c>
      <x:c r="B185" t="str">
        <x:v>2023</x:v>
      </x:c>
      <x:c r="C185" t="str">
        <x:v>QLoRA: Efficient Finetuning of Quantized LLMs</x:v>
      </x:c>
      <x:c r="D185" t="str">
        <x:v>10_LLM_Backbones_LowResource</x:v>
      </x:c>
      <x:c r="E185" t="n">
        <x:v>0</x:v>
      </x:c>
      <x:c r="F185" t="n">
        <x:v>0</x:v>
      </x:c>
      <x:c r="G185" t="n">
        <x:v>0</x:v>
      </x:c>
      <x:c r="H185" t="n">
        <x:v>0</x:v>
      </x:c>
      <x:c r="I185" t="n">
        <x:v>0</x:v>
      </x:c>
      <x:c r="J185" t="n">
        <x:v>0</x:v>
      </x:c>
      <x:c r="K185" t="n">
        <x:v>0</x:v>
      </x:c>
      <x:c r="L185" t="n">
        <x:v>0</x:v>
      </x:c>
      <x:c r="M185" t="n">
        <x:v>0</x:v>
      </x:c>
      <x:c r="N185" t="n">
        <x:v>0</x:v>
      </x:c>
      <x:c r="O185" t="n">
        <x:v>0</x:v>
      </x:c>
      <x:c r="P185" t="n">
        <x:v>0</x:v>
      </x:c>
      <x:c r="Q185" t="n">
        <x:v>1</x:v>
      </x:c>
      <x:c r="R185" t="n">
        <x:v>0</x:v>
      </x:c>
      <x:c r="S185" t="n">
        <x:v>0</x:v>
      </x:c>
      <x:c r="T185" t="n">
        <x:v>0</x:v>
      </x:c>
      <x:c r="U185" t="n">
        <x:v>0</x:v>
      </x:c>
      <x:c r="V185" t="n">
        <x:v>0</x:v>
      </x:c>
      <x:c r="W185" t="n">
        <x:v>0</x:v>
      </x:c>
      <x:c r="X185" t="n">
        <x:v>0</x:v>
      </x:c>
      <x:c r="Y185" t="n">
        <x:v>0</x:v>
      </x:c>
      <x:c r="Z185" t="n">
        <x:v>0</x:v>
      </x:c>
    </x:row>
    <x:row r="186">
      <x:c r="A186" t="str">
        <x:v>dettmers2022_llm_int8_8</x:v>
      </x:c>
      <x:c r="B186" t="str">
        <x:v>2022</x:v>
      </x:c>
      <x:c r="C186" t="str">
        <x:v>LLM.int8(): 8-bit Matrix Multiplication for Transformers at Scale</x:v>
      </x:c>
      <x:c r="D186" t="str">
        <x:v>10_LLM_Backbones_LowResource</x:v>
      </x:c>
      <x:c r="E186" t="n">
        <x:v>0</x:v>
      </x:c>
      <x:c r="F186" t="n">
        <x:v>0</x:v>
      </x:c>
      <x:c r="G186" t="n">
        <x:v>0</x:v>
      </x:c>
      <x:c r="H186" t="n">
        <x:v>0</x:v>
      </x:c>
      <x:c r="I186" t="n">
        <x:v>0</x:v>
      </x:c>
      <x:c r="J186" t="n">
        <x:v>0</x:v>
      </x:c>
      <x:c r="K186" t="n">
        <x:v>0</x:v>
      </x:c>
      <x:c r="L186" t="n">
        <x:v>0</x:v>
      </x:c>
      <x:c r="M186" t="n">
        <x:v>0</x:v>
      </x:c>
      <x:c r="N186" t="n">
        <x:v>0</x:v>
      </x:c>
      <x:c r="O186" t="n">
        <x:v>0</x:v>
      </x:c>
      <x:c r="P186" t="n">
        <x:v>0</x:v>
      </x:c>
      <x:c r="Q186" t="n">
        <x:v>1</x:v>
      </x:c>
      <x:c r="R186" t="n">
        <x:v>0</x:v>
      </x:c>
      <x:c r="S186" t="n">
        <x:v>0</x:v>
      </x:c>
      <x:c r="T186" t="n">
        <x:v>0</x:v>
      </x:c>
      <x:c r="U186" t="n">
        <x:v>0</x:v>
      </x:c>
      <x:c r="V186" t="n">
        <x:v>0</x:v>
      </x:c>
      <x:c r="W186" t="n">
        <x:v>0</x:v>
      </x:c>
      <x:c r="X186" t="n">
        <x:v>0</x:v>
      </x:c>
      <x:c r="Y186" t="n">
        <x:v>0</x:v>
      </x:c>
      <x:c r="Z186" t="n">
        <x:v>0</x:v>
      </x:c>
    </x:row>
    <x:row r="187">
      <x:c r="A187" t="str">
        <x:v>johnson2016_mimic_iii_freely</x:v>
      </x:c>
      <x:c r="B187" t="str">
        <x:v>2016</x:v>
      </x:c>
      <x:c r="C187" t="str">
        <x:v>MIMIC-III, A Freely Accessible Critical Care Database</x:v>
      </x:c>
      <x:c r="D187" t="str">
        <x:v>11_Clinical_NLP_Datasets</x:v>
      </x:c>
      <x:c r="E187" t="n">
        <x:v>0</x:v>
      </x:c>
      <x:c r="F187" t="n">
        <x:v>0</x:v>
      </x:c>
      <x:c r="G187" t="n">
        <x:v>0</x:v>
      </x:c>
      <x:c r="H187" t="n">
        <x:v>0</x:v>
      </x:c>
      <x:c r="I187" t="n">
        <x:v>0</x:v>
      </x:c>
      <x:c r="J187" t="n">
        <x:v>0</x:v>
      </x:c>
      <x:c r="K187" t="n">
        <x:v>0</x:v>
      </x:c>
      <x:c r="L187" t="n">
        <x:v>0</x:v>
      </x:c>
      <x:c r="M187" t="n">
        <x:v>0</x:v>
      </x:c>
      <x:c r="N187" t="n">
        <x:v>0</x:v>
      </x:c>
      <x:c r="O187" t="n">
        <x:v>0</x:v>
      </x:c>
      <x:c r="P187" t="n">
        <x:v>0</x:v>
      </x:c>
      <x:c r="Q187" t="n">
        <x:v>0</x:v>
      </x:c>
      <x:c r="R187" t="n">
        <x:v>0</x:v>
      </x:c>
      <x:c r="S187" t="n">
        <x:v>0</x:v>
      </x:c>
      <x:c r="T187" t="n">
        <x:v>0</x:v>
      </x:c>
      <x:c r="U187" t="n">
        <x:v>0</x:v>
      </x:c>
      <x:c r="V187" t="n">
        <x:v>1</x:v>
      </x:c>
      <x:c r="W187" t="n">
        <x:v>0</x:v>
      </x:c>
      <x:c r="X187" t="n">
        <x:v>0</x:v>
      </x:c>
      <x:c r="Y187" t="n">
        <x:v>0</x:v>
      </x:c>
      <x:c r="Z187" t="n">
        <x:v>0</x:v>
      </x:c>
    </x:row>
    <x:row r="188">
      <x:c r="A188" t="str">
        <x:v>johnson2023_mimic_iv_freely</x:v>
      </x:c>
      <x:c r="B188" t="str">
        <x:v>2023</x:v>
      </x:c>
      <x:c r="C188" t="str">
        <x:v>MIMIC-IV, A Freely Accessible Electronic Health Record Dataset</x:v>
      </x:c>
      <x:c r="D188" t="str">
        <x:v>11_Clinical_NLP_Datasets</x:v>
      </x:c>
      <x:c r="E188" t="n">
        <x:v>0</x:v>
      </x:c>
      <x:c r="F188" t="n">
        <x:v>0</x:v>
      </x:c>
      <x:c r="G188" t="n">
        <x:v>0</x:v>
      </x:c>
      <x:c r="H188" t="n">
        <x:v>0</x:v>
      </x:c>
      <x:c r="I188" t="n">
        <x:v>0</x:v>
      </x:c>
      <x:c r="J188" t="n">
        <x:v>0</x:v>
      </x:c>
      <x:c r="K188" t="n">
        <x:v>0</x:v>
      </x:c>
      <x:c r="L188" t="n">
        <x:v>0</x:v>
      </x:c>
      <x:c r="M188" t="n">
        <x:v>0</x:v>
      </x:c>
      <x:c r="N188" t="n">
        <x:v>0</x:v>
      </x:c>
      <x:c r="O188" t="n">
        <x:v>0</x:v>
      </x:c>
      <x:c r="P188" t="n">
        <x:v>0</x:v>
      </x:c>
      <x:c r="Q188" t="n">
        <x:v>0</x:v>
      </x:c>
      <x:c r="R188" t="n">
        <x:v>0</x:v>
      </x:c>
      <x:c r="S188" t="n">
        <x:v>0</x:v>
      </x:c>
      <x:c r="T188" t="n">
        <x:v>0</x:v>
      </x:c>
      <x:c r="U188" t="n">
        <x:v>0</x:v>
      </x:c>
      <x:c r="V188" t="n">
        <x:v>1</x:v>
      </x:c>
      <x:c r="W188" t="n">
        <x:v>0</x:v>
      </x:c>
      <x:c r="X188" t="n">
        <x:v>0</x:v>
      </x:c>
      <x:c r="Y188" t="n">
        <x:v>0</x:v>
      </x:c>
      <x:c r="Z188" t="n">
        <x:v>0</x:v>
      </x:c>
    </x:row>
    <x:row r="189">
      <x:c r="A189" t="str">
        <x:v>irvin2019_chexpert_chest_radiograph</x:v>
      </x:c>
      <x:c r="B189" t="str">
        <x:v>2019</x:v>
      </x:c>
      <x:c r="C189" t="str">
        <x:v>CheXpert: A Large Chest Radiograph Dataset with Uncertainty Labels and Expert Comparison</x:v>
      </x:c>
      <x:c r="D189" t="str">
        <x:v>11_Clinical_NLP_Datasets</x:v>
      </x:c>
      <x:c r="E189" t="n">
        <x:v>0</x:v>
      </x:c>
      <x:c r="F189" t="n">
        <x:v>0</x:v>
      </x:c>
      <x:c r="G189" t="n">
        <x:v>0</x:v>
      </x:c>
      <x:c r="H189" t="n">
        <x:v>0</x:v>
      </x:c>
      <x:c r="I189" t="n">
        <x:v>0</x:v>
      </x:c>
      <x:c r="J189" t="n">
        <x:v>0</x:v>
      </x:c>
      <x:c r="K189" t="n">
        <x:v>0</x:v>
      </x:c>
      <x:c r="L189" t="n">
        <x:v>0</x:v>
      </x:c>
      <x:c r="M189" t="n">
        <x:v>0</x:v>
      </x:c>
      <x:c r="N189" t="n">
        <x:v>0</x:v>
      </x:c>
      <x:c r="O189" t="n">
        <x:v>0</x:v>
      </x:c>
      <x:c r="P189" t="n">
        <x:v>0</x:v>
      </x:c>
      <x:c r="Q189" t="n">
        <x:v>0</x:v>
      </x:c>
      <x:c r="R189" t="n">
        <x:v>0</x:v>
      </x:c>
      <x:c r="S189" t="n">
        <x:v>0</x:v>
      </x:c>
      <x:c r="T189" t="n">
        <x:v>0</x:v>
      </x:c>
      <x:c r="U189" t="n">
        <x:v>0</x:v>
      </x:c>
      <x:c r="V189" t="n">
        <x:v>1</x:v>
      </x:c>
      <x:c r="W189" t="n">
        <x:v>0</x:v>
      </x:c>
      <x:c r="X189" t="n">
        <x:v>0</x:v>
      </x:c>
      <x:c r="Y189" t="n">
        <x:v>0</x:v>
      </x:c>
      <x:c r="Z189" t="n">
        <x:v>0</x:v>
      </x:c>
    </x:row>
    <x:row r="190">
      <x:c r="A190" t="str">
        <x:v>bustos2020_padchest_chest_x</x:v>
      </x:c>
      <x:c r="B190" t="str">
        <x:v>2020</x:v>
      </x:c>
      <x:c r="C190" t="str">
        <x:v>PadChest: A Large Chest X-Ray Image Dataset with Multi-label Annotated Reports</x:v>
      </x:c>
      <x:c r="D190" t="str">
        <x:v>11_Clinical_NLP_Datasets</x:v>
      </x:c>
      <x:c r="E190" t="n">
        <x:v>0</x:v>
      </x:c>
      <x:c r="F190" t="n">
        <x:v>0</x:v>
      </x:c>
      <x:c r="G190" t="n">
        <x:v>0</x:v>
      </x:c>
      <x:c r="H190" t="n">
        <x:v>0</x:v>
      </x:c>
      <x:c r="I190" t="n">
        <x:v>0</x:v>
      </x:c>
      <x:c r="J190" t="n">
        <x:v>0</x:v>
      </x:c>
      <x:c r="K190" t="n">
        <x:v>0</x:v>
      </x:c>
      <x:c r="L190" t="n">
        <x:v>0</x:v>
      </x:c>
      <x:c r="M190" t="n">
        <x:v>0</x:v>
      </x:c>
      <x:c r="N190" t="n">
        <x:v>0</x:v>
      </x:c>
      <x:c r="O190" t="n">
        <x:v>0</x:v>
      </x:c>
      <x:c r="P190" t="n">
        <x:v>0</x:v>
      </x:c>
      <x:c r="Q190" t="n">
        <x:v>0</x:v>
      </x:c>
      <x:c r="R190" t="n">
        <x:v>0</x:v>
      </x:c>
      <x:c r="S190" t="n">
        <x:v>0</x:v>
      </x:c>
      <x:c r="T190" t="n">
        <x:v>0</x:v>
      </x:c>
      <x:c r="U190" t="n">
        <x:v>0</x:v>
      </x:c>
      <x:c r="V190" t="n">
        <x:v>1</x:v>
      </x:c>
      <x:c r="W190" t="n">
        <x:v>0</x:v>
      </x:c>
      <x:c r="X190" t="n">
        <x:v>0</x:v>
      </x:c>
      <x:c r="Y190" t="n">
        <x:v>0</x:v>
      </x:c>
      <x:c r="Z190" t="n">
        <x:v>0</x:v>
      </x:c>
    </x:row>
    <x:row r="191">
      <x:c r="A191" t="str">
        <x:v>demnerfushman2016_preparing_collection_radiology</x:v>
      </x:c>
      <x:c r="B191" t="str">
        <x:v>2016</x:v>
      </x:c>
      <x:c r="C191" t="str">
        <x:v>Preparing a Collection of Radiology Examinations for Distribution and Retrieval</x:v>
      </x:c>
      <x:c r="D191" t="str">
        <x:v>11_Clinical_NLP_Datasets</x:v>
      </x:c>
      <x:c r="E191" t="n">
        <x:v>0</x:v>
      </x:c>
      <x:c r="F191" t="n">
        <x:v>0</x:v>
      </x:c>
      <x:c r="G191" t="n">
        <x:v>0</x:v>
      </x:c>
      <x:c r="H191" t="n">
        <x:v>0</x:v>
      </x:c>
      <x:c r="I191" t="n">
        <x:v>0</x:v>
      </x:c>
      <x:c r="J191" t="n">
        <x:v>0</x:v>
      </x:c>
      <x:c r="K191" t="n">
        <x:v>0</x:v>
      </x:c>
      <x:c r="L191" t="n">
        <x:v>0</x:v>
      </x:c>
      <x:c r="M191" t="n">
        <x:v>0</x:v>
      </x:c>
      <x:c r="N191" t="n">
        <x:v>0</x:v>
      </x:c>
      <x:c r="O191" t="n">
        <x:v>0</x:v>
      </x:c>
      <x:c r="P191" t="n">
        <x:v>0</x:v>
      </x:c>
      <x:c r="Q191" t="n">
        <x:v>0</x:v>
      </x:c>
      <x:c r="R191" t="n">
        <x:v>0</x:v>
      </x:c>
      <x:c r="S191" t="n">
        <x:v>0</x:v>
      </x:c>
      <x:c r="T191" t="n">
        <x:v>0</x:v>
      </x:c>
      <x:c r="U191" t="n">
        <x:v>0</x:v>
      </x:c>
      <x:c r="V191" t="n">
        <x:v>1</x:v>
      </x:c>
      <x:c r="W191" t="n">
        <x:v>0</x:v>
      </x:c>
      <x:c r="X191" t="n">
        <x:v>0</x:v>
      </x:c>
      <x:c r="Y191" t="n">
        <x:v>0</x:v>
      </x:c>
      <x:c r="Z191" t="n">
        <x:v>0</x:v>
      </x:c>
    </x:row>
    <x:row r="192">
      <x:c r="A192" t="str">
        <x:v>uzuner2011_2010_i2b2_va</x:v>
      </x:c>
      <x:c r="B192" t="str">
        <x:v>2011</x:v>
      </x:c>
      <x:c r="C192" t="str">
        <x:v>2010 i2b2/VA Challenge on Concepts, Assertions, and Relations in Clinical Text</x:v>
      </x:c>
      <x:c r="D192" t="str">
        <x:v>11_Clinical_NLP_Datasets</x:v>
      </x:c>
      <x:c r="E192" t="n">
        <x:v>0</x:v>
      </x:c>
      <x:c r="F192" t="n">
        <x:v>0</x:v>
      </x:c>
      <x:c r="G192" t="n">
        <x:v>0</x:v>
      </x:c>
      <x:c r="H192" t="n">
        <x:v>0</x:v>
      </x:c>
      <x:c r="I192" t="n">
        <x:v>0</x:v>
      </x:c>
      <x:c r="J192" t="n">
        <x:v>0</x:v>
      </x:c>
      <x:c r="K192" t="n">
        <x:v>0</x:v>
      </x:c>
      <x:c r="L192" t="n">
        <x:v>0</x:v>
      </x:c>
      <x:c r="M192" t="n">
        <x:v>0</x:v>
      </x:c>
      <x:c r="N192" t="n">
        <x:v>0</x:v>
      </x:c>
      <x:c r="O192" t="n">
        <x:v>0</x:v>
      </x:c>
      <x:c r="P192" t="n">
        <x:v>0</x:v>
      </x:c>
      <x:c r="Q192" t="n">
        <x:v>0</x:v>
      </x:c>
      <x:c r="R192" t="n">
        <x:v>0</x:v>
      </x:c>
      <x:c r="S192" t="n">
        <x:v>0</x:v>
      </x:c>
      <x:c r="T192" t="n">
        <x:v>0</x:v>
      </x:c>
      <x:c r="U192" t="n">
        <x:v>0</x:v>
      </x:c>
      <x:c r="V192" t="n">
        <x:v>1</x:v>
      </x:c>
      <x:c r="W192" t="n">
        <x:v>0</x:v>
      </x:c>
      <x:c r="X192" t="n">
        <x:v>0</x:v>
      </x:c>
      <x:c r="Y192" t="n">
        <x:v>0</x:v>
      </x:c>
      <x:c r="Z192" t="n">
        <x:v>0</x:v>
      </x:c>
    </x:row>
    <x:row r="193">
      <x:c r="A193" t="str">
        <x:v>uzuner2007_evaluating_state_art</x:v>
      </x:c>
      <x:c r="B193" t="str">
        <x:v>2007</x:v>
      </x:c>
      <x:c r="C193" t="str">
        <x:v>Evaluating the State-of-the-Art in Automatic De-identification</x:v>
      </x:c>
      <x:c r="D193" t="str">
        <x:v>11_Clinical_NLP_Datasets</x:v>
      </x:c>
      <x:c r="E193" t="n">
        <x:v>0</x:v>
      </x:c>
      <x:c r="F193" t="n">
        <x:v>0</x:v>
      </x:c>
      <x:c r="G193" t="n">
        <x:v>0</x:v>
      </x:c>
      <x:c r="H193" t="n">
        <x:v>0</x:v>
      </x:c>
      <x:c r="I193" t="n">
        <x:v>0</x:v>
      </x:c>
      <x:c r="J193" t="n">
        <x:v>0</x:v>
      </x:c>
      <x:c r="K193" t="n">
        <x:v>0</x:v>
      </x:c>
      <x:c r="L193" t="n">
        <x:v>0</x:v>
      </x:c>
      <x:c r="M193" t="n">
        <x:v>0</x:v>
      </x:c>
      <x:c r="N193" t="n">
        <x:v>0</x:v>
      </x:c>
      <x:c r="O193" t="n">
        <x:v>0</x:v>
      </x:c>
      <x:c r="P193" t="n">
        <x:v>0</x:v>
      </x:c>
      <x:c r="Q193" t="n">
        <x:v>0</x:v>
      </x:c>
      <x:c r="R193" t="n">
        <x:v>0</x:v>
      </x:c>
      <x:c r="S193" t="n">
        <x:v>0</x:v>
      </x:c>
      <x:c r="T193" t="n">
        <x:v>0</x:v>
      </x:c>
      <x:c r="U193" t="n">
        <x:v>0</x:v>
      </x:c>
      <x:c r="V193" t="n">
        <x:v>1</x:v>
      </x:c>
      <x:c r="W193" t="n">
        <x:v>0</x:v>
      </x:c>
      <x:c r="X193" t="n">
        <x:v>0</x:v>
      </x:c>
      <x:c r="Y193" t="n">
        <x:v>0</x:v>
      </x:c>
      <x:c r="Z193" t="n">
        <x:v>0</x:v>
      </x:c>
    </x:row>
    <x:row r="194">
      <x:c r="A194" t="str">
        <x:v>henry2020_2018_n2c2_shared</x:v>
      </x:c>
      <x:c r="B194" t="str">
        <x:v>2020</x:v>
      </x:c>
      <x:c r="C194" t="str">
        <x:v>2018 n2c2 Shared Task on Adverse Drug Events and Medication Extraction in Electronic Health Records</x:v>
      </x:c>
      <x:c r="D194" t="str">
        <x:v>11_Clinical_NLP_Datasets</x:v>
      </x:c>
      <x:c r="E194" t="n">
        <x:v>0</x:v>
      </x:c>
      <x:c r="F194" t="n">
        <x:v>0</x:v>
      </x:c>
      <x:c r="G194" t="n">
        <x:v>0</x:v>
      </x:c>
      <x:c r="H194" t="n">
        <x:v>0</x:v>
      </x:c>
      <x:c r="I194" t="n">
        <x:v>0</x:v>
      </x:c>
      <x:c r="J194" t="n">
        <x:v>0</x:v>
      </x:c>
      <x:c r="K194" t="n">
        <x:v>0</x:v>
      </x:c>
      <x:c r="L194" t="n">
        <x:v>0</x:v>
      </x:c>
      <x:c r="M194" t="n">
        <x:v>0</x:v>
      </x:c>
      <x:c r="N194" t="n">
        <x:v>0</x:v>
      </x:c>
      <x:c r="O194" t="n">
        <x:v>0</x:v>
      </x:c>
      <x:c r="P194" t="n">
        <x:v>0</x:v>
      </x:c>
      <x:c r="Q194" t="n">
        <x:v>0</x:v>
      </x:c>
      <x:c r="R194" t="n">
        <x:v>0</x:v>
      </x:c>
      <x:c r="S194" t="n">
        <x:v>0</x:v>
      </x:c>
      <x:c r="T194" t="n">
        <x:v>0</x:v>
      </x:c>
      <x:c r="U194" t="n">
        <x:v>0</x:v>
      </x:c>
      <x:c r="V194" t="n">
        <x:v>1</x:v>
      </x:c>
      <x:c r="W194" t="n">
        <x:v>0</x:v>
      </x:c>
      <x:c r="X194" t="n">
        <x:v>0</x:v>
      </x:c>
      <x:c r="Y194" t="n">
        <x:v>0</x:v>
      </x:c>
      <x:c r="Z194" t="n">
        <x:v>0</x:v>
      </x:c>
    </x:row>
    <x:row r="195">
      <x:c r="A195" t="str">
        <x:v>soysal2018_clamp_toolkit_efficiently</x:v>
      </x:c>
      <x:c r="B195" t="str">
        <x:v>2018</x:v>
      </x:c>
      <x:c r="C195" t="str">
        <x:v>CLAMP: A Toolkit for Efficiently Building Customized Clinical Natural Language Processing Pipelines</x:v>
      </x:c>
      <x:c r="D195" t="str">
        <x:v>11_Clinical_NLP_Datasets</x:v>
      </x:c>
      <x:c r="E195" t="n">
        <x:v>0</x:v>
      </x:c>
      <x:c r="F195" t="n">
        <x:v>0</x:v>
      </x:c>
      <x:c r="G195" t="n">
        <x:v>0</x:v>
      </x:c>
      <x:c r="H195" t="n">
        <x:v>0</x:v>
      </x:c>
      <x:c r="I195" t="n">
        <x:v>0</x:v>
      </x:c>
      <x:c r="J195" t="n">
        <x:v>0</x:v>
      </x:c>
      <x:c r="K195" t="n">
        <x:v>0</x:v>
      </x:c>
      <x:c r="L195" t="n">
        <x:v>0</x:v>
      </x:c>
      <x:c r="M195" t="n">
        <x:v>0</x:v>
      </x:c>
      <x:c r="N195" t="n">
        <x:v>0</x:v>
      </x:c>
      <x:c r="O195" t="n">
        <x:v>0</x:v>
      </x:c>
      <x:c r="P195" t="n">
        <x:v>0</x:v>
      </x:c>
      <x:c r="Q195" t="n">
        <x:v>0</x:v>
      </x:c>
      <x:c r="R195" t="n">
        <x:v>0</x:v>
      </x:c>
      <x:c r="S195" t="n">
        <x:v>0</x:v>
      </x:c>
      <x:c r="T195" t="n">
        <x:v>0</x:v>
      </x:c>
      <x:c r="U195" t="n">
        <x:v>0</x:v>
      </x:c>
      <x:c r="V195" t="n">
        <x:v>0</x:v>
      </x:c>
      <x:c r="W195" t="n">
        <x:v>0</x:v>
      </x:c>
      <x:c r="X195" t="n">
        <x:v>0</x:v>
      </x:c>
      <x:c r="Y195" t="n">
        <x:v>0</x:v>
      </x:c>
      <x:c r="Z195" t="n">
        <x:v>0</x:v>
      </x:c>
    </x:row>
    <x:row r="196">
      <x:c r="A196" t="str">
        <x:v>savova2010_mayo_clinical_text</x:v>
      </x:c>
      <x:c r="B196" t="str">
        <x:v>2010</x:v>
      </x:c>
      <x:c r="C196" t="str">
        <x:v>Mayo Clinical Text Analysis and Knowledge Extraction System (cTAKES): Architecture, Component Evaluation and Applications</x:v>
      </x:c>
      <x:c r="D196" t="str">
        <x:v>11_Clinical_NLP_Datasets</x:v>
      </x:c>
      <x:c r="E196" t="n">
        <x:v>0</x:v>
      </x:c>
      <x:c r="F196" t="n">
        <x:v>0</x:v>
      </x:c>
      <x:c r="G196" t="n">
        <x:v>0</x:v>
      </x:c>
      <x:c r="H196" t="n">
        <x:v>0</x:v>
      </x:c>
      <x:c r="I196" t="n">
        <x:v>0</x:v>
      </x:c>
      <x:c r="J196" t="n">
        <x:v>0</x:v>
      </x:c>
      <x:c r="K196" t="n">
        <x:v>0</x:v>
      </x:c>
      <x:c r="L196" t="n">
        <x:v>0</x:v>
      </x:c>
      <x:c r="M196" t="n">
        <x:v>0</x:v>
      </x:c>
      <x:c r="N196" t="n">
        <x:v>0</x:v>
      </x:c>
      <x:c r="O196" t="n">
        <x:v>0</x:v>
      </x:c>
      <x:c r="P196" t="n">
        <x:v>0</x:v>
      </x:c>
      <x:c r="Q196" t="n">
        <x:v>0</x:v>
      </x:c>
      <x:c r="R196" t="n">
        <x:v>0</x:v>
      </x:c>
      <x:c r="S196" t="n">
        <x:v>0</x:v>
      </x:c>
      <x:c r="T196" t="n">
        <x:v>0</x:v>
      </x:c>
      <x:c r="U196" t="n">
        <x:v>0</x:v>
      </x:c>
      <x:c r="V196" t="n">
        <x:v>0</x:v>
      </x:c>
      <x:c r="W196" t="n">
        <x:v>0</x:v>
      </x:c>
      <x:c r="X196" t="n">
        <x:v>0</x:v>
      </x:c>
      <x:c r="Y196" t="n">
        <x:v>0</x:v>
      </x:c>
      <x:c r="Z196" t="n">
        <x:v>0</x:v>
      </x:c>
    </x:row>
    <x:row r="197">
      <x:c r="A197" t="str">
        <x:v>aronson2010_overview_metamap_historical</x:v>
      </x:c>
      <x:c r="B197" t="str">
        <x:v>2010</x:v>
      </x:c>
      <x:c r="C197" t="str">
        <x:v>An Overview of MetaMap: Historical Perspective and Recent Advances</x:v>
      </x:c>
      <x:c r="D197" t="str">
        <x:v>11_Clinical_NLP_Datasets</x:v>
      </x:c>
      <x:c r="E197" t="n">
        <x:v>0</x:v>
      </x:c>
      <x:c r="F197" t="n">
        <x:v>0</x:v>
      </x:c>
      <x:c r="G197" t="n">
        <x:v>0</x:v>
      </x:c>
      <x:c r="H197" t="n">
        <x:v>0</x:v>
      </x:c>
      <x:c r="I197" t="n">
        <x:v>0</x:v>
      </x:c>
      <x:c r="J197" t="n">
        <x:v>0</x:v>
      </x:c>
      <x:c r="K197" t="n">
        <x:v>0</x:v>
      </x:c>
      <x:c r="L197" t="n">
        <x:v>0</x:v>
      </x:c>
      <x:c r="M197" t="n">
        <x:v>0</x:v>
      </x:c>
      <x:c r="N197" t="n">
        <x:v>0</x:v>
      </x:c>
      <x:c r="O197" t="n">
        <x:v>0</x:v>
      </x:c>
      <x:c r="P197" t="n">
        <x:v>0</x:v>
      </x:c>
      <x:c r="Q197" t="n">
        <x:v>0</x:v>
      </x:c>
      <x:c r="R197" t="n">
        <x:v>0</x:v>
      </x:c>
      <x:c r="S197" t="n">
        <x:v>0</x:v>
      </x:c>
      <x:c r="T197" t="n">
        <x:v>0</x:v>
      </x:c>
      <x:c r="U197" t="n">
        <x:v>0</x:v>
      </x:c>
      <x:c r="V197" t="n">
        <x:v>0</x:v>
      </x:c>
      <x:c r="W197" t="n">
        <x:v>0</x:v>
      </x:c>
      <x:c r="X197" t="n">
        <x:v>0</x:v>
      </x:c>
      <x:c r="Y197" t="n">
        <x:v>0</x:v>
      </x:c>
      <x:c r="Z197" t="n">
        <x:v>0</x:v>
      </x:c>
    </x:row>
    <x:row r="198">
      <x:c r="A198" t="str">
        <x:v>luo2022_natural_language_processing</x:v>
      </x:c>
      <x:c r="B198" t="str">
        <x:v>2022</x:v>
      </x:c>
      <x:c r="C198" t="str">
        <x:v>Natural Language Processing for EHR-Based Computational Phenotyping</x:v>
      </x:c>
      <x:c r="D198" t="str">
        <x:v>11_Clinical_NLP_Datasets</x:v>
      </x:c>
      <x:c r="E198" t="n">
        <x:v>0</x:v>
      </x:c>
      <x:c r="F198" t="n">
        <x:v>0</x:v>
      </x:c>
      <x:c r="G198" t="n">
        <x:v>0</x:v>
      </x:c>
      <x:c r="H198" t="n">
        <x:v>0</x:v>
      </x:c>
      <x:c r="I198" t="n">
        <x:v>0</x:v>
      </x:c>
      <x:c r="J198" t="n">
        <x:v>0</x:v>
      </x:c>
      <x:c r="K198" t="n">
        <x:v>0</x:v>
      </x:c>
      <x:c r="L198" t="n">
        <x:v>0</x:v>
      </x:c>
      <x:c r="M198" t="n">
        <x:v>0</x:v>
      </x:c>
      <x:c r="N198" t="n">
        <x:v>0</x:v>
      </x:c>
      <x:c r="O198" t="n">
        <x:v>0</x:v>
      </x:c>
      <x:c r="P198" t="n">
        <x:v>0</x:v>
      </x:c>
      <x:c r="Q198" t="n">
        <x:v>0</x:v>
      </x:c>
      <x:c r="R198" t="n">
        <x:v>0</x:v>
      </x:c>
      <x:c r="S198" t="n">
        <x:v>0</x:v>
      </x:c>
      <x:c r="T198" t="n">
        <x:v>0</x:v>
      </x:c>
      <x:c r="U198" t="n">
        <x:v>0</x:v>
      </x:c>
      <x:c r="V198" t="n">
        <x:v>0</x:v>
      </x:c>
      <x:c r="W198" t="n">
        <x:v>0</x:v>
      </x:c>
      <x:c r="X198" t="n">
        <x:v>0</x:v>
      </x:c>
      <x:c r="Y198" t="n">
        <x:v>0</x:v>
      </x:c>
      <x:c r="Z198" t="n">
        <x:v>0</x:v>
      </x:c>
    </x:row>
    <x:row r="199">
      <x:c r="A199" t="str">
        <x:v>wang2018_clinical_information_extraction</x:v>
      </x:c>
      <x:c r="B199" t="str">
        <x:v>2018</x:v>
      </x:c>
      <x:c r="C199" t="str">
        <x:v>Clinical Information Extraction Applications: A Literature Review</x:v>
      </x:c>
      <x:c r="D199" t="str">
        <x:v>11_Clinical_NLP_Datasets</x:v>
      </x:c>
      <x:c r="E199" t="n">
        <x:v>0</x:v>
      </x:c>
      <x:c r="F199" t="n">
        <x:v>0</x:v>
      </x:c>
      <x:c r="G199" t="n">
        <x:v>0</x:v>
      </x:c>
      <x:c r="H199" t="n">
        <x:v>0</x:v>
      </x:c>
      <x:c r="I199" t="n">
        <x:v>0</x:v>
      </x:c>
      <x:c r="J199" t="n">
        <x:v>0</x:v>
      </x:c>
      <x:c r="K199" t="n">
        <x:v>0</x:v>
      </x:c>
      <x:c r="L199" t="n">
        <x:v>0</x:v>
      </x:c>
      <x:c r="M199" t="n">
        <x:v>0</x:v>
      </x:c>
      <x:c r="N199" t="n">
        <x:v>0</x:v>
      </x:c>
      <x:c r="O199" t="n">
        <x:v>0</x:v>
      </x:c>
      <x:c r="P199" t="n">
        <x:v>0</x:v>
      </x:c>
      <x:c r="Q199" t="n">
        <x:v>0</x:v>
      </x:c>
      <x:c r="R199" t="n">
        <x:v>0</x:v>
      </x:c>
      <x:c r="S199" t="n">
        <x:v>0</x:v>
      </x:c>
      <x:c r="T199" t="n">
        <x:v>0</x:v>
      </x:c>
      <x:c r="U199" t="n">
        <x:v>0</x:v>
      </x:c>
      <x:c r="V199" t="n">
        <x:v>0</x:v>
      </x:c>
      <x:c r="W199" t="n">
        <x:v>0</x:v>
      </x:c>
      <x:c r="X199" t="n">
        <x:v>0</x:v>
      </x:c>
      <x:c r="Y199" t="n">
        <x:v>0</x:v>
      </x:c>
      <x:c r="Z199" t="n">
        <x:v>0</x:v>
      </x:c>
    </x:row>
    <x:row r="200">
      <x:c r="A200" t="str">
        <x:v>jensen2012_mining_electronic_health</x:v>
      </x:c>
      <x:c r="B200" t="str">
        <x:v>2012</x:v>
      </x:c>
      <x:c r="C200" t="str">
        <x:v>Mining Electronic Health Records: Towards Better Research Applications and Clinical Care</x:v>
      </x:c>
      <x:c r="D200" t="str">
        <x:v>11_Clinical_NLP_Datasets</x:v>
      </x:c>
      <x:c r="E200" t="n">
        <x:v>0</x:v>
      </x:c>
      <x:c r="F200" t="n">
        <x:v>0</x:v>
      </x:c>
      <x:c r="G200" t="n">
        <x:v>0</x:v>
      </x:c>
      <x:c r="H200" t="n">
        <x:v>0</x:v>
      </x:c>
      <x:c r="I200" t="n">
        <x:v>0</x:v>
      </x:c>
      <x:c r="J200" t="n">
        <x:v>0</x:v>
      </x:c>
      <x:c r="K200" t="n">
        <x:v>0</x:v>
      </x:c>
      <x:c r="L200" t="n">
        <x:v>0</x:v>
      </x:c>
      <x:c r="M200" t="n">
        <x:v>0</x:v>
      </x:c>
      <x:c r="N200" t="n">
        <x:v>0</x:v>
      </x:c>
      <x:c r="O200" t="n">
        <x:v>0</x:v>
      </x:c>
      <x:c r="P200" t="n">
        <x:v>0</x:v>
      </x:c>
      <x:c r="Q200" t="n">
        <x:v>0</x:v>
      </x:c>
      <x:c r="R200" t="n">
        <x:v>0</x:v>
      </x:c>
      <x:c r="S200" t="n">
        <x:v>0</x:v>
      </x:c>
      <x:c r="T200" t="n">
        <x:v>0</x:v>
      </x:c>
      <x:c r="U200" t="n">
        <x:v>0</x:v>
      </x:c>
      <x:c r="V200" t="n">
        <x:v>0</x:v>
      </x:c>
      <x:c r="W200" t="n">
        <x:v>0</x:v>
      </x:c>
      <x:c r="X200" t="n">
        <x:v>0</x:v>
      </x:c>
      <x:c r="Y200" t="n">
        <x:v>0</x:v>
      </x:c>
      <x:c r="Z200" t="n">
        <x:v>0</x:v>
      </x:c>
    </x:row>
    <x:row r="201">
      <x:c r="A201" t="str">
        <x:v>shickel2018_deep_ehr_recent</x:v>
      </x:c>
      <x:c r="B201" t="str">
        <x:v>2018</x:v>
      </x:c>
      <x:c r="C201" t="str">
        <x:v>Deep EHR: A Survey of Recent Advances in Deep Learning Techniques for Electronic Health Record Analysis</x:v>
      </x:c>
      <x:c r="D201" t="str">
        <x:v>11_Clinical_NLP_Datasets</x:v>
      </x:c>
      <x:c r="E201" t="n">
        <x:v>0</x:v>
      </x:c>
      <x:c r="F201" t="n">
        <x:v>0</x:v>
      </x:c>
      <x:c r="G201" t="n">
        <x:v>0</x:v>
      </x:c>
      <x:c r="H201" t="n">
        <x:v>0</x:v>
      </x:c>
      <x:c r="I201" t="n">
        <x:v>0</x:v>
      </x:c>
      <x:c r="J201" t="n">
        <x:v>0</x:v>
      </x:c>
      <x:c r="K201" t="n">
        <x:v>0</x:v>
      </x:c>
      <x:c r="L201" t="n">
        <x:v>0</x:v>
      </x:c>
      <x:c r="M201" t="n">
        <x:v>0</x:v>
      </x:c>
      <x:c r="N201" t="n">
        <x:v>0</x:v>
      </x:c>
      <x:c r="O201" t="n">
        <x:v>0</x:v>
      </x:c>
      <x:c r="P201" t="n">
        <x:v>0</x:v>
      </x:c>
      <x:c r="Q201" t="n">
        <x:v>0</x:v>
      </x:c>
      <x:c r="R201" t="n">
        <x:v>0</x:v>
      </x:c>
      <x:c r="S201" t="n">
        <x:v>0</x:v>
      </x:c>
      <x:c r="T201" t="n">
        <x:v>0</x:v>
      </x:c>
      <x:c r="U201" t="n">
        <x:v>0</x:v>
      </x:c>
      <x:c r="V201" t="n">
        <x:v>0</x:v>
      </x:c>
      <x:c r="W201" t="n">
        <x:v>0</x:v>
      </x:c>
      <x:c r="X201" t="n">
        <x:v>0</x:v>
      </x:c>
      <x:c r="Y201" t="n">
        <x:v>0</x:v>
      </x:c>
      <x:c r="Z201" t="n">
        <x:v>0</x:v>
      </x:c>
    </x:row>
    <x:row r="202">
      <x:c r="A202" t="str">
        <x:v>wallace2016_extracting_pico_sentences</x:v>
      </x:c>
      <x:c r="B202" t="str">
        <x:v>2016</x:v>
      </x:c>
      <x:c r="C202" t="str">
        <x:v>Extracting PICO Sentences from Clinical Trial Reports Using Supervised Distant Supervision</x:v>
      </x:c>
      <x:c r="D202" t="str">
        <x:v>12_Clinical_Summarization_Health_Literacy</x:v>
      </x:c>
      <x:c r="E202" t="n">
        <x:v>0</x:v>
      </x:c>
      <x:c r="F202" t="n">
        <x:v>0</x:v>
      </x:c>
      <x:c r="G202" t="n">
        <x:v>0</x:v>
      </x:c>
      <x:c r="H202" t="n">
        <x:v>0</x:v>
      </x:c>
      <x:c r="I202" t="n">
        <x:v>0</x:v>
      </x:c>
      <x:c r="J202" t="n">
        <x:v>0</x:v>
      </x:c>
      <x:c r="K202" t="n">
        <x:v>0</x:v>
      </x:c>
      <x:c r="L202" t="n">
        <x:v>0</x:v>
      </x:c>
      <x:c r="M202" t="n">
        <x:v>0</x:v>
      </x:c>
      <x:c r="N202" t="n">
        <x:v>0</x:v>
      </x:c>
      <x:c r="O202" t="n">
        <x:v>0</x:v>
      </x:c>
      <x:c r="P202" t="n">
        <x:v>0</x:v>
      </x:c>
      <x:c r="Q202" t="n">
        <x:v>0</x:v>
      </x:c>
      <x:c r="R202" t="n">
        <x:v>0</x:v>
      </x:c>
      <x:c r="S202" t="n">
        <x:v>0</x:v>
      </x:c>
      <x:c r="T202" t="n">
        <x:v>0</x:v>
      </x:c>
      <x:c r="U202" t="n">
        <x:v>0</x:v>
      </x:c>
      <x:c r="V202" t="n">
        <x:v>0</x:v>
      </x:c>
      <x:c r="W202" t="n">
        <x:v>0</x:v>
      </x:c>
      <x:c r="X202" t="n">
        <x:v>0</x:v>
      </x:c>
      <x:c r="Y202" t="n">
        <x:v>0</x:v>
      </x:c>
      <x:c r="Z202" t="n">
        <x:v>0</x:v>
      </x:c>
    </x:row>
    <x:row r="203">
      <x:c r="A203" t="str">
        <x:v>marshall2015_automating_risk_bias</x:v>
      </x:c>
      <x:c r="B203" t="str">
        <x:v>2015</x:v>
      </x:c>
      <x:c r="C203" t="str">
        <x:v>Automating Risk of Bias Assessment for Clinical Trials</x:v>
      </x:c>
      <x:c r="D203" t="str">
        <x:v>12_Clinical_Summarization_Health_Literacy</x:v>
      </x:c>
      <x:c r="E203" t="n">
        <x:v>0</x:v>
      </x:c>
      <x:c r="F203" t="n">
        <x:v>0</x:v>
      </x:c>
      <x:c r="G203" t="n">
        <x:v>0</x:v>
      </x:c>
      <x:c r="H203" t="n">
        <x:v>0</x:v>
      </x:c>
      <x:c r="I203" t="n">
        <x:v>0</x:v>
      </x:c>
      <x:c r="J203" t="n">
        <x:v>0</x:v>
      </x:c>
      <x:c r="K203" t="n">
        <x:v>0</x:v>
      </x:c>
      <x:c r="L203" t="n">
        <x:v>0</x:v>
      </x:c>
      <x:c r="M203" t="n">
        <x:v>0</x:v>
      </x:c>
      <x:c r="N203" t="n">
        <x:v>0</x:v>
      </x:c>
      <x:c r="O203" t="n">
        <x:v>0</x:v>
      </x:c>
      <x:c r="P203" t="n">
        <x:v>0</x:v>
      </x:c>
      <x:c r="Q203" t="n">
        <x:v>0</x:v>
      </x:c>
      <x:c r="R203" t="n">
        <x:v>0</x:v>
      </x:c>
      <x:c r="S203" t="n">
        <x:v>0</x:v>
      </x:c>
      <x:c r="T203" t="n">
        <x:v>0</x:v>
      </x:c>
      <x:c r="U203" t="n">
        <x:v>0</x:v>
      </x:c>
      <x:c r="V203" t="n">
        <x:v>0</x:v>
      </x:c>
      <x:c r="W203" t="n">
        <x:v>0</x:v>
      </x:c>
      <x:c r="X203" t="n">
        <x:v>0</x:v>
      </x:c>
      <x:c r="Y203" t="n">
        <x:v>0</x:v>
      </x:c>
      <x:c r="Z203" t="n">
        <x:v>0</x:v>
      </x:c>
    </x:row>
    <x:row r="204">
      <x:c r="A204" t="str">
        <x:v>lehman2019_inferring_which_medical</x:v>
      </x:c>
      <x:c r="B204" t="str">
        <x:v>2019</x:v>
      </x:c>
      <x:c r="C204" t="str">
        <x:v>Inferring Which Medical Treatments Work from Reports of Clinical Trials</x:v>
      </x:c>
      <x:c r="D204" t="str">
        <x:v>12_Clinical_Summarization_Health_Literacy</x:v>
      </x:c>
      <x:c r="E204" t="n">
        <x:v>0</x:v>
      </x:c>
      <x:c r="F204" t="n">
        <x:v>0</x:v>
      </x:c>
      <x:c r="G204" t="n">
        <x:v>0</x:v>
      </x:c>
      <x:c r="H204" t="n">
        <x:v>0</x:v>
      </x:c>
      <x:c r="I204" t="n">
        <x:v>0</x:v>
      </x:c>
      <x:c r="J204" t="n">
        <x:v>0</x:v>
      </x:c>
      <x:c r="K204" t="n">
        <x:v>0</x:v>
      </x:c>
      <x:c r="L204" t="n">
        <x:v>0</x:v>
      </x:c>
      <x:c r="M204" t="n">
        <x:v>0</x:v>
      </x:c>
      <x:c r="N204" t="n">
        <x:v>0</x:v>
      </x:c>
      <x:c r="O204" t="n">
        <x:v>0</x:v>
      </x:c>
      <x:c r="P204" t="n">
        <x:v>0</x:v>
      </x:c>
      <x:c r="Q204" t="n">
        <x:v>0</x:v>
      </x:c>
      <x:c r="R204" t="n">
        <x:v>0</x:v>
      </x:c>
      <x:c r="S204" t="n">
        <x:v>0</x:v>
      </x:c>
      <x:c r="T204" t="n">
        <x:v>0</x:v>
      </x:c>
      <x:c r="U204" t="n">
        <x:v>0</x:v>
      </x:c>
      <x:c r="V204" t="n">
        <x:v>0</x:v>
      </x:c>
      <x:c r="W204" t="n">
        <x:v>0</x:v>
      </x:c>
      <x:c r="X204" t="n">
        <x:v>0</x:v>
      </x:c>
      <x:c r="Y204" t="n">
        <x:v>0</x:v>
      </x:c>
      <x:c r="Z204" t="n">
        <x:v>0</x:v>
      </x:c>
    </x:row>
    <x:row r="205">
      <x:c r="A205" t="str">
        <x:v>wallace2012_deploying_interactive_machine</x:v>
      </x:c>
      <x:c r="B205" t="str">
        <x:v>2012</x:v>
      </x:c>
      <x:c r="C205" t="str">
        <x:v>Deploying an Interactive Machine Learning System in an Evidence-based Practice Center</x:v>
      </x:c>
      <x:c r="D205" t="str">
        <x:v>12_Clinical_Summarization_Health_Literacy</x:v>
      </x:c>
      <x:c r="E205" t="n">
        <x:v>0</x:v>
      </x:c>
      <x:c r="F205" t="n">
        <x:v>0</x:v>
      </x:c>
      <x:c r="G205" t="n">
        <x:v>0</x:v>
      </x:c>
      <x:c r="H205" t="n">
        <x:v>0</x:v>
      </x:c>
      <x:c r="I205" t="n">
        <x:v>0</x:v>
      </x:c>
      <x:c r="J205" t="n">
        <x:v>0</x:v>
      </x:c>
      <x:c r="K205" t="n">
        <x:v>0</x:v>
      </x:c>
      <x:c r="L205" t="n">
        <x:v>0</x:v>
      </x:c>
      <x:c r="M205" t="n">
        <x:v>0</x:v>
      </x:c>
      <x:c r="N205" t="n">
        <x:v>0</x:v>
      </x:c>
      <x:c r="O205" t="n">
        <x:v>0</x:v>
      </x:c>
      <x:c r="P205" t="n">
        <x:v>0</x:v>
      </x:c>
      <x:c r="Q205" t="n">
        <x:v>0</x:v>
      </x:c>
      <x:c r="R205" t="n">
        <x:v>0</x:v>
      </x:c>
      <x:c r="S205" t="n">
        <x:v>0</x:v>
      </x:c>
      <x:c r="T205" t="n">
        <x:v>0</x:v>
      </x:c>
      <x:c r="U205" t="n">
        <x:v>1</x:v>
      </x:c>
      <x:c r="V205" t="n">
        <x:v>0</x:v>
      </x:c>
      <x:c r="W205" t="n">
        <x:v>0</x:v>
      </x:c>
      <x:c r="X205" t="n">
        <x:v>0</x:v>
      </x:c>
      <x:c r="Y205" t="n">
        <x:v>0</x:v>
      </x:c>
      <x:c r="Z205" t="n">
        <x:v>0</x:v>
      </x:c>
    </x:row>
    <x:row r="206">
      <x:c r="A206" t="str">
        <x:v>mishra2014_text_summarization_biomedical</x:v>
      </x:c>
      <x:c r="B206" t="str">
        <x:v>2014</x:v>
      </x:c>
      <x:c r="C206" t="str">
        <x:v>Text Summarization in the Biomedical Domain: A Systematic Review of Recent Research</x:v>
      </x:c>
      <x:c r="D206" t="str">
        <x:v>12_Clinical_Summarization_Health_Literacy</x:v>
      </x:c>
      <x:c r="E206" t="n">
        <x:v>0</x:v>
      </x:c>
      <x:c r="F206" t="n">
        <x:v>0</x:v>
      </x:c>
      <x:c r="G206" t="n">
        <x:v>0</x:v>
      </x:c>
      <x:c r="H206" t="n">
        <x:v>0</x:v>
      </x:c>
      <x:c r="I206" t="n">
        <x:v>0</x:v>
      </x:c>
      <x:c r="J206" t="n">
        <x:v>0</x:v>
      </x:c>
      <x:c r="K206" t="n">
        <x:v>0</x:v>
      </x:c>
      <x:c r="L206" t="n">
        <x:v>0</x:v>
      </x:c>
      <x:c r="M206" t="n">
        <x:v>0</x:v>
      </x:c>
      <x:c r="N206" t="n">
        <x:v>0</x:v>
      </x:c>
      <x:c r="O206" t="n">
        <x:v>0</x:v>
      </x:c>
      <x:c r="P206" t="n">
        <x:v>0</x:v>
      </x:c>
      <x:c r="Q206" t="n">
        <x:v>0</x:v>
      </x:c>
      <x:c r="R206" t="n">
        <x:v>0</x:v>
      </x:c>
      <x:c r="S206" t="n">
        <x:v>0</x:v>
      </x:c>
      <x:c r="T206" t="n">
        <x:v>0</x:v>
      </x:c>
      <x:c r="U206" t="n">
        <x:v>1</x:v>
      </x:c>
      <x:c r="V206" t="n">
        <x:v>0</x:v>
      </x:c>
      <x:c r="W206" t="n">
        <x:v>0</x:v>
      </x:c>
      <x:c r="X206" t="n">
        <x:v>0</x:v>
      </x:c>
      <x:c r="Y206" t="n">
        <x:v>0</x:v>
      </x:c>
      <x:c r="Z206" t="n">
        <x:v>0</x:v>
      </x:c>
    </x:row>
    <x:row r="207">
      <x:c r="A207" t="str">
        <x:v>afantenos2005_summarization_medical_documents</x:v>
      </x:c>
      <x:c r="B207" t="str">
        <x:v>2005</x:v>
      </x:c>
      <x:c r="C207" t="str">
        <x:v>Summarization from Medical Documents: A Survey</x:v>
      </x:c>
      <x:c r="D207" t="str">
        <x:v>12_Clinical_Summarization_Health_Literacy</x:v>
      </x:c>
      <x:c r="E207" t="n">
        <x:v>0</x:v>
      </x:c>
      <x:c r="F207" t="n">
        <x:v>0</x:v>
      </x:c>
      <x:c r="G207" t="n">
        <x:v>0</x:v>
      </x:c>
      <x:c r="H207" t="n">
        <x:v>0</x:v>
      </x:c>
      <x:c r="I207" t="n">
        <x:v>0</x:v>
      </x:c>
      <x:c r="J207" t="n">
        <x:v>0</x:v>
      </x:c>
      <x:c r="K207" t="n">
        <x:v>0</x:v>
      </x:c>
      <x:c r="L207" t="n">
        <x:v>0</x:v>
      </x:c>
      <x:c r="M207" t="n">
        <x:v>0</x:v>
      </x:c>
      <x:c r="N207" t="n">
        <x:v>0</x:v>
      </x:c>
      <x:c r="O207" t="n">
        <x:v>0</x:v>
      </x:c>
      <x:c r="P207" t="n">
        <x:v>0</x:v>
      </x:c>
      <x:c r="Q207" t="n">
        <x:v>0</x:v>
      </x:c>
      <x:c r="R207" t="n">
        <x:v>0</x:v>
      </x:c>
      <x:c r="S207" t="n">
        <x:v>0</x:v>
      </x:c>
      <x:c r="T207" t="n">
        <x:v>0</x:v>
      </x:c>
      <x:c r="U207" t="n">
        <x:v>0</x:v>
      </x:c>
      <x:c r="V207" t="n">
        <x:v>0</x:v>
      </x:c>
      <x:c r="W207" t="n">
        <x:v>0</x:v>
      </x:c>
      <x:c r="X207" t="n">
        <x:v>0</x:v>
      </x:c>
      <x:c r="Y207" t="n">
        <x:v>0</x:v>
      </x:c>
      <x:c r="Z207" t="n">
        <x:v>0</x:v>
      </x:c>
    </x:row>
    <x:row r="208">
      <x:c r="A208" t="str">
        <x:v>demnerfushman2007_answering_clinical_questions</x:v>
      </x:c>
      <x:c r="B208" t="str">
        <x:v>2007</x:v>
      </x:c>
      <x:c r="C208" t="str">
        <x:v>Answering Clinical Questions with Knowledge-Based and Statistical Techniques</x:v>
      </x:c>
      <x:c r="D208" t="str">
        <x:v>12_Clinical_Summarization_Health_Literacy</x:v>
      </x:c>
      <x:c r="E208" t="n">
        <x:v>0</x:v>
      </x:c>
      <x:c r="F208" t="n">
        <x:v>0</x:v>
      </x:c>
      <x:c r="G208" t="n">
        <x:v>0</x:v>
      </x:c>
      <x:c r="H208" t="n">
        <x:v>0</x:v>
      </x:c>
      <x:c r="I208" t="n">
        <x:v>0</x:v>
      </x:c>
      <x:c r="J208" t="n">
        <x:v>0</x:v>
      </x:c>
      <x:c r="K208" t="n">
        <x:v>0</x:v>
      </x:c>
      <x:c r="L208" t="n">
        <x:v>0</x:v>
      </x:c>
      <x:c r="M208" t="n">
        <x:v>0</x:v>
      </x:c>
      <x:c r="N208" t="n">
        <x:v>0</x:v>
      </x:c>
      <x:c r="O208" t="n">
        <x:v>0</x:v>
      </x:c>
      <x:c r="P208" t="n">
        <x:v>0</x:v>
      </x:c>
      <x:c r="Q208" t="n">
        <x:v>0</x:v>
      </x:c>
      <x:c r="R208" t="n">
        <x:v>0</x:v>
      </x:c>
      <x:c r="S208" t="n">
        <x:v>0</x:v>
      </x:c>
      <x:c r="T208" t="n">
        <x:v>0</x:v>
      </x:c>
      <x:c r="U208" t="n">
        <x:v>0</x:v>
      </x:c>
      <x:c r="V208" t="n">
        <x:v>0</x:v>
      </x:c>
      <x:c r="W208" t="n">
        <x:v>0</x:v>
      </x:c>
      <x:c r="X208" t="n">
        <x:v>0</x:v>
      </x:c>
      <x:c r="Y208" t="n">
        <x:v>0</x:v>
      </x:c>
      <x:c r="Z208" t="n">
        <x:v>0</x:v>
      </x:c>
    </x:row>
    <x:row r="209">
      <x:c r="A209" t="str">
        <x:v>nallapati2016_abstractive_text_summarization</x:v>
      </x:c>
      <x:c r="B209" t="str">
        <x:v>2016</x:v>
      </x:c>
      <x:c r="C209" t="str">
        <x:v>Abstractive Text Summarization Using Sequence-to-Sequence RNNs and Beyond</x:v>
      </x:c>
      <x:c r="D209" t="str">
        <x:v>12_Clinical_Summarization_Health_Literacy</x:v>
      </x:c>
      <x:c r="E209" t="n">
        <x:v>0</x:v>
      </x:c>
      <x:c r="F209" t="n">
        <x:v>0</x:v>
      </x:c>
      <x:c r="G209" t="n">
        <x:v>0</x:v>
      </x:c>
      <x:c r="H209" t="n">
        <x:v>0</x:v>
      </x:c>
      <x:c r="I209" t="n">
        <x:v>0</x:v>
      </x:c>
      <x:c r="J209" t="n">
        <x:v>0</x:v>
      </x:c>
      <x:c r="K209" t="n">
        <x:v>0</x:v>
      </x:c>
      <x:c r="L209" t="n">
        <x:v>0</x:v>
      </x:c>
      <x:c r="M209" t="n">
        <x:v>0</x:v>
      </x:c>
      <x:c r="N209" t="n">
        <x:v>0</x:v>
      </x:c>
      <x:c r="O209" t="n">
        <x:v>0</x:v>
      </x:c>
      <x:c r="P209" t="n">
        <x:v>0</x:v>
      </x:c>
      <x:c r="Q209" t="n">
        <x:v>0</x:v>
      </x:c>
      <x:c r="R209" t="n">
        <x:v>0</x:v>
      </x:c>
      <x:c r="S209" t="n">
        <x:v>0</x:v>
      </x:c>
      <x:c r="T209" t="n">
        <x:v>0</x:v>
      </x:c>
      <x:c r="U209" t="n">
        <x:v>0</x:v>
      </x:c>
      <x:c r="V209" t="n">
        <x:v>0</x:v>
      </x:c>
      <x:c r="W209" t="n">
        <x:v>0</x:v>
      </x:c>
      <x:c r="X209" t="n">
        <x:v>0</x:v>
      </x:c>
      <x:c r="Y209" t="n">
        <x:v>0</x:v>
      </x:c>
      <x:c r="Z209" t="n">
        <x:v>0</x:v>
      </x:c>
    </x:row>
    <x:row r="210">
      <x:c r="A210" t="str">
        <x:v>see2017_get_point_summarization</x:v>
      </x:c>
      <x:c r="B210" t="str">
        <x:v>2017</x:v>
      </x:c>
      <x:c r="C210" t="str">
        <x:v>Get To The Point: Summarization with Pointer-Generator Networks</x:v>
      </x:c>
      <x:c r="D210" t="str">
        <x:v>12_Clinical_Summarization_Health_Literacy</x:v>
      </x:c>
      <x:c r="E210" t="n">
        <x:v>0</x:v>
      </x:c>
      <x:c r="F210" t="n">
        <x:v>0</x:v>
      </x:c>
      <x:c r="G210" t="n">
        <x:v>0</x:v>
      </x:c>
      <x:c r="H210" t="n">
        <x:v>0</x:v>
      </x:c>
      <x:c r="I210" t="n">
        <x:v>0</x:v>
      </x:c>
      <x:c r="J210" t="n">
        <x:v>0</x:v>
      </x:c>
      <x:c r="K210" t="n">
        <x:v>0</x:v>
      </x:c>
      <x:c r="L210" t="n">
        <x:v>0</x:v>
      </x:c>
      <x:c r="M210" t="n">
        <x:v>0</x:v>
      </x:c>
      <x:c r="N210" t="n">
        <x:v>0</x:v>
      </x:c>
      <x:c r="O210" t="n">
        <x:v>0</x:v>
      </x:c>
      <x:c r="P210" t="n">
        <x:v>0</x:v>
      </x:c>
      <x:c r="Q210" t="n">
        <x:v>0</x:v>
      </x:c>
      <x:c r="R210" t="n">
        <x:v>0</x:v>
      </x:c>
      <x:c r="S210" t="n">
        <x:v>0</x:v>
      </x:c>
      <x:c r="T210" t="n">
        <x:v>0</x:v>
      </x:c>
      <x:c r="U210" t="n">
        <x:v>0</x:v>
      </x:c>
      <x:c r="V210" t="n">
        <x:v>0</x:v>
      </x:c>
      <x:c r="W210" t="n">
        <x:v>0</x:v>
      </x:c>
      <x:c r="X210" t="n">
        <x:v>0</x:v>
      </x:c>
      <x:c r="Y210" t="n">
        <x:v>0</x:v>
      </x:c>
      <x:c r="Z210" t="n">
        <x:v>0</x:v>
      </x:c>
    </x:row>
    <x:row r="211">
      <x:c r="A211" t="str">
        <x:v>narayan2018_don_t_give</x:v>
      </x:c>
      <x:c r="B211" t="str">
        <x:v>2018</x:v>
      </x:c>
      <x:c r="C211" t="str">
        <x:v>Don't Give Me the Details, Just the Summary! Topic-Aware Convolutional Neural Networks for Extreme Summarization</x:v>
      </x:c>
      <x:c r="D211" t="str">
        <x:v>12_Clinical_Summarization_Health_Literacy</x:v>
      </x:c>
      <x:c r="E211" t="n">
        <x:v>0</x:v>
      </x:c>
      <x:c r="F211" t="n">
        <x:v>0</x:v>
      </x:c>
      <x:c r="G211" t="n">
        <x:v>0</x:v>
      </x:c>
      <x:c r="H211" t="n">
        <x:v>0</x:v>
      </x:c>
      <x:c r="I211" t="n">
        <x:v>0</x:v>
      </x:c>
      <x:c r="J211" t="n">
        <x:v>0</x:v>
      </x:c>
      <x:c r="K211" t="n">
        <x:v>0</x:v>
      </x:c>
      <x:c r="L211" t="n">
        <x:v>0</x:v>
      </x:c>
      <x:c r="M211" t="n">
        <x:v>0</x:v>
      </x:c>
      <x:c r="N211" t="n">
        <x:v>0</x:v>
      </x:c>
      <x:c r="O211" t="n">
        <x:v>0</x:v>
      </x:c>
      <x:c r="P211" t="n">
        <x:v>0</x:v>
      </x:c>
      <x:c r="Q211" t="n">
        <x:v>0</x:v>
      </x:c>
      <x:c r="R211" t="n">
        <x:v>0</x:v>
      </x:c>
      <x:c r="S211" t="n">
        <x:v>0</x:v>
      </x:c>
      <x:c r="T211" t="n">
        <x:v>0</x:v>
      </x:c>
      <x:c r="U211" t="n">
        <x:v>0</x:v>
      </x:c>
      <x:c r="V211" t="n">
        <x:v>1</x:v>
      </x:c>
      <x:c r="W211" t="n">
        <x:v>0</x:v>
      </x:c>
      <x:c r="X211" t="n">
        <x:v>0</x:v>
      </x:c>
      <x:c r="Y211" t="n">
        <x:v>0</x:v>
      </x:c>
      <x:c r="Z211" t="n">
        <x:v>0</x:v>
      </x:c>
    </x:row>
    <x:row r="212">
      <x:c r="A212" t="str">
        <x:v>grusky2018_newsroom_1_3</x:v>
      </x:c>
      <x:c r="B212" t="str">
        <x:v>2018</x:v>
      </x:c>
      <x:c r="C212" t="str">
        <x:v>Newsroom: A Dataset of 1.3 Million Summaries with Diverse Extractive Strategies</x:v>
      </x:c>
      <x:c r="D212" t="str">
        <x:v>12_Clinical_Summarization_Health_Literacy</x:v>
      </x:c>
      <x:c r="E212" t="n">
        <x:v>0</x:v>
      </x:c>
      <x:c r="F212" t="n">
        <x:v>0</x:v>
      </x:c>
      <x:c r="G212" t="n">
        <x:v>0</x:v>
      </x:c>
      <x:c r="H212" t="n">
        <x:v>0</x:v>
      </x:c>
      <x:c r="I212" t="n">
        <x:v>0</x:v>
      </x:c>
      <x:c r="J212" t="n">
        <x:v>0</x:v>
      </x:c>
      <x:c r="K212" t="n">
        <x:v>0</x:v>
      </x:c>
      <x:c r="L212" t="n">
        <x:v>0</x:v>
      </x:c>
      <x:c r="M212" t="n">
        <x:v>0</x:v>
      </x:c>
      <x:c r="N212" t="n">
        <x:v>0</x:v>
      </x:c>
      <x:c r="O212" t="n">
        <x:v>0</x:v>
      </x:c>
      <x:c r="P212" t="n">
        <x:v>0</x:v>
      </x:c>
      <x:c r="Q212" t="n">
        <x:v>0</x:v>
      </x:c>
      <x:c r="R212" t="n">
        <x:v>0</x:v>
      </x:c>
      <x:c r="S212" t="n">
        <x:v>0</x:v>
      </x:c>
      <x:c r="T212" t="n">
        <x:v>0</x:v>
      </x:c>
      <x:c r="U212" t="n">
        <x:v>0</x:v>
      </x:c>
      <x:c r="V212" t="n">
        <x:v>1</x:v>
      </x:c>
      <x:c r="W212" t="n">
        <x:v>0</x:v>
      </x:c>
      <x:c r="X212" t="n">
        <x:v>0</x:v>
      </x:c>
      <x:c r="Y212" t="n">
        <x:v>0</x:v>
      </x:c>
      <x:c r="Z212" t="n">
        <x:v>0</x:v>
      </x:c>
    </x:row>
    <x:row r="213">
      <x:c r="A213" t="str">
        <x:v>zhang2020_pegasus_pre_training</x:v>
      </x:c>
      <x:c r="B213" t="str">
        <x:v>2020</x:v>
      </x:c>
      <x:c r="C213" t="str">
        <x:v>PEGASUS: Pre-training with Extracted Gap-sentences for Abstractive Summarization</x:v>
      </x:c>
      <x:c r="D213" t="str">
        <x:v>12_Clinical_Summarization_Health_Literacy</x:v>
      </x:c>
      <x:c r="E213" t="n">
        <x:v>0</x:v>
      </x:c>
      <x:c r="F213" t="n">
        <x:v>0</x:v>
      </x:c>
      <x:c r="G213" t="n">
        <x:v>0</x:v>
      </x:c>
      <x:c r="H213" t="n">
        <x:v>0</x:v>
      </x:c>
      <x:c r="I213" t="n">
        <x:v>0</x:v>
      </x:c>
      <x:c r="J213" t="n">
        <x:v>0</x:v>
      </x:c>
      <x:c r="K213" t="n">
        <x:v>0</x:v>
      </x:c>
      <x:c r="L213" t="n">
        <x:v>0</x:v>
      </x:c>
      <x:c r="M213" t="n">
        <x:v>0</x:v>
      </x:c>
      <x:c r="N213" t="n">
        <x:v>0</x:v>
      </x:c>
      <x:c r="O213" t="n">
        <x:v>0</x:v>
      </x:c>
      <x:c r="P213" t="n">
        <x:v>0</x:v>
      </x:c>
      <x:c r="Q213" t="n">
        <x:v>0</x:v>
      </x:c>
      <x:c r="R213" t="n">
        <x:v>0</x:v>
      </x:c>
      <x:c r="S213" t="n">
        <x:v>0</x:v>
      </x:c>
      <x:c r="T213" t="n">
        <x:v>0</x:v>
      </x:c>
      <x:c r="U213" t="n">
        <x:v>0</x:v>
      </x:c>
      <x:c r="V213" t="n">
        <x:v>0</x:v>
      </x:c>
      <x:c r="W213" t="n">
        <x:v>0</x:v>
      </x:c>
      <x:c r="X213" t="n">
        <x:v>0</x:v>
      </x:c>
      <x:c r="Y213" t="n">
        <x:v>0</x:v>
      </x:c>
      <x:c r="Z213" t="n">
        <x:v>0</x:v>
      </x:c>
    </x:row>
    <x:row r="214">
      <x:c r="A214" t="str">
        <x:v>gidiotis2020_divide_conquer_summarization</x:v>
      </x:c>
      <x:c r="B214" t="str">
        <x:v>2020</x:v>
      </x:c>
      <x:c r="C214" t="str">
        <x:v>A Divide-and-Conquer Approach to the Summarization of Long Documents</x:v>
      </x:c>
      <x:c r="D214" t="str">
        <x:v>12_Clinical_Summarization_Health_Literacy</x:v>
      </x:c>
      <x:c r="E214" t="n">
        <x:v>0</x:v>
      </x:c>
      <x:c r="F214" t="n">
        <x:v>0</x:v>
      </x:c>
      <x:c r="G214" t="n">
        <x:v>0</x:v>
      </x:c>
      <x:c r="H214" t="n">
        <x:v>0</x:v>
      </x:c>
      <x:c r="I214" t="n">
        <x:v>0</x:v>
      </x:c>
      <x:c r="J214" t="n">
        <x:v>0</x:v>
      </x:c>
      <x:c r="K214" t="n">
        <x:v>0</x:v>
      </x:c>
      <x:c r="L214" t="n">
        <x:v>0</x:v>
      </x:c>
      <x:c r="M214" t="n">
        <x:v>0</x:v>
      </x:c>
      <x:c r="N214" t="n">
        <x:v>0</x:v>
      </x:c>
      <x:c r="O214" t="n">
        <x:v>0</x:v>
      </x:c>
      <x:c r="P214" t="n">
        <x:v>0</x:v>
      </x:c>
      <x:c r="Q214" t="n">
        <x:v>0</x:v>
      </x:c>
      <x:c r="R214" t="n">
        <x:v>0</x:v>
      </x:c>
      <x:c r="S214" t="n">
        <x:v>0</x:v>
      </x:c>
      <x:c r="T214" t="n">
        <x:v>0</x:v>
      </x:c>
      <x:c r="U214" t="n">
        <x:v>0</x:v>
      </x:c>
      <x:c r="V214" t="n">
        <x:v>0</x:v>
      </x:c>
      <x:c r="W214" t="n">
        <x:v>0</x:v>
      </x:c>
      <x:c r="X214" t="n">
        <x:v>0</x:v>
      </x:c>
      <x:c r="Y214" t="n">
        <x:v>0</x:v>
      </x:c>
      <x:c r="Z214" t="n">
        <x:v>0</x:v>
      </x:c>
    </x:row>
    <x:row r="215">
      <x:c r="A215" t="str">
        <x:v>cohan2018_discourse_aware_attention</x:v>
      </x:c>
      <x:c r="B215" t="str">
        <x:v>2018</x:v>
      </x:c>
      <x:c r="C215" t="str">
        <x:v>A Discourse-Aware Attention Model for Abstractive Summarization of Long Documents</x:v>
      </x:c>
      <x:c r="D215" t="str">
        <x:v>12_Clinical_Summarization_Health_Literacy</x:v>
      </x:c>
      <x:c r="E215" t="n">
        <x:v>0</x:v>
      </x:c>
      <x:c r="F215" t="n">
        <x:v>0</x:v>
      </x:c>
      <x:c r="G215" t="n">
        <x:v>0</x:v>
      </x:c>
      <x:c r="H215" t="n">
        <x:v>0</x:v>
      </x:c>
      <x:c r="I215" t="n">
        <x:v>0</x:v>
      </x:c>
      <x:c r="J215" t="n">
        <x:v>0</x:v>
      </x:c>
      <x:c r="K215" t="n">
        <x:v>0</x:v>
      </x:c>
      <x:c r="L215" t="n">
        <x:v>0</x:v>
      </x:c>
      <x:c r="M215" t="n">
        <x:v>0</x:v>
      </x:c>
      <x:c r="N215" t="n">
        <x:v>0</x:v>
      </x:c>
      <x:c r="O215" t="n">
        <x:v>0</x:v>
      </x:c>
      <x:c r="P215" t="n">
        <x:v>0</x:v>
      </x:c>
      <x:c r="Q215" t="n">
        <x:v>0</x:v>
      </x:c>
      <x:c r="R215" t="n">
        <x:v>0</x:v>
      </x:c>
      <x:c r="S215" t="n">
        <x:v>0</x:v>
      </x:c>
      <x:c r="T215" t="n">
        <x:v>0</x:v>
      </x:c>
      <x:c r="U215" t="n">
        <x:v>0</x:v>
      </x:c>
      <x:c r="V215" t="n">
        <x:v>0</x:v>
      </x:c>
      <x:c r="W215" t="n">
        <x:v>0</x:v>
      </x:c>
      <x:c r="X215" t="n">
        <x:v>0</x:v>
      </x:c>
      <x:c r="Y215" t="n">
        <x:v>0</x:v>
      </x:c>
      <x:c r="Z215" t="n">
        <x:v>0</x:v>
      </x:c>
    </x:row>
    <x:row r="216">
      <x:c r="A216" t="str">
        <x:v>sotudeh2019_generating_extended_summaries</x:v>
      </x:c>
      <x:c r="B216" t="str">
        <x:v>2019</x:v>
      </x:c>
      <x:c r="C216" t="str">
        <x:v>On Generating Extended Summaries of Long Documents</x:v>
      </x:c>
      <x:c r="D216" t="str">
        <x:v>12_Clinical_Summarization_Health_Literacy</x:v>
      </x:c>
      <x:c r="E216" t="n">
        <x:v>0</x:v>
      </x:c>
      <x:c r="F216" t="n">
        <x:v>0</x:v>
      </x:c>
      <x:c r="G216" t="n">
        <x:v>0</x:v>
      </x:c>
      <x:c r="H216" t="n">
        <x:v>0</x:v>
      </x:c>
      <x:c r="I216" t="n">
        <x:v>0</x:v>
      </x:c>
      <x:c r="J216" t="n">
        <x:v>0</x:v>
      </x:c>
      <x:c r="K216" t="n">
        <x:v>0</x:v>
      </x:c>
      <x:c r="L216" t="n">
        <x:v>0</x:v>
      </x:c>
      <x:c r="M216" t="n">
        <x:v>0</x:v>
      </x:c>
      <x:c r="N216" t="n">
        <x:v>0</x:v>
      </x:c>
      <x:c r="O216" t="n">
        <x:v>0</x:v>
      </x:c>
      <x:c r="P216" t="n">
        <x:v>0</x:v>
      </x:c>
      <x:c r="Q216" t="n">
        <x:v>0</x:v>
      </x:c>
      <x:c r="R216" t="n">
        <x:v>0</x:v>
      </x:c>
      <x:c r="S216" t="n">
        <x:v>0</x:v>
      </x:c>
      <x:c r="T216" t="n">
        <x:v>0</x:v>
      </x:c>
      <x:c r="U216" t="n">
        <x:v>0</x:v>
      </x:c>
      <x:c r="V216" t="n">
        <x:v>0</x:v>
      </x:c>
      <x:c r="W216" t="n">
        <x:v>0</x:v>
      </x:c>
      <x:c r="X216" t="n">
        <x:v>0</x:v>
      </x:c>
      <x:c r="Y216" t="n">
        <x:v>0</x:v>
      </x:c>
      <x:c r="Z216" t="n">
        <x:v>0</x:v>
      </x:c>
    </x:row>
  </x:sheetData>
  <x:pageMargins left="0.7" right="0.7" top="0.75" bottom="0.75" header="0.3" footer="0.3"/>
  <x:tableParts count="1">
    <x:tablePart xmlns:r="http://schemas.openxmlformats.org/officeDocument/2006/relationships" r:id="Rd5d99ba0620945fc"/>
  </x:tableParts>
</x:worksheet>
</file>